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instituteoftechindore-my.sharepoint.com/personal/phd2101141001_iiti_ac_in/Documents/Research Paper/current paper/Fourth Paper/"/>
    </mc:Choice>
  </mc:AlternateContent>
  <xr:revisionPtr revIDLastSave="0" documentId="8_{4E902FAC-88C9-4490-A408-8A1F15819AD5}" xr6:coauthVersionLast="47" xr6:coauthVersionMax="47" xr10:uidLastSave="{00000000-0000-0000-0000-000000000000}"/>
  <bookViews>
    <workbookView xWindow="-120" yWindow="-120" windowWidth="29040" windowHeight="15720" activeTab="2" xr2:uid="{E549AA30-BA25-4845-952D-18EC06C1277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" i="3" l="1" a="1"/>
  <c r="AE8" i="3" s="1"/>
  <c r="AE7" i="3" a="1"/>
  <c r="AE7" i="3" s="1"/>
  <c r="AE6" i="3" a="1"/>
  <c r="AE6" i="3" s="1"/>
  <c r="AE5" i="3" a="1"/>
  <c r="AE5" i="3" s="1"/>
  <c r="U8" i="3" a="1"/>
  <c r="U8" i="3" s="1"/>
  <c r="U7" i="3" a="1"/>
  <c r="U7" i="3" s="1"/>
  <c r="U6" i="3" a="1"/>
  <c r="U6" i="3" s="1"/>
  <c r="U5" i="3" a="1"/>
  <c r="U5" i="3" s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3" i="3"/>
  <c r="I8" i="3" a="1"/>
  <c r="I8" i="3" s="1"/>
  <c r="I7" i="3" a="1"/>
  <c r="I7" i="3" s="1"/>
  <c r="I6" i="3" a="1"/>
  <c r="I6" i="3" s="1"/>
  <c r="I5" i="3" a="1"/>
  <c r="I5" i="3" s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<sst xmlns="http://schemas.openxmlformats.org/spreadsheetml/2006/main" count="437" uniqueCount="384">
  <si>
    <t>MDIDFPM-2</t>
  </si>
  <si>
    <t>DIDFPM</t>
  </si>
  <si>
    <t>IRTTCGPM</t>
  </si>
  <si>
    <t>IHDFPM</t>
  </si>
  <si>
    <t>Problem 1</t>
  </si>
  <si>
    <t>Problem 2</t>
  </si>
  <si>
    <t>Problem 3</t>
  </si>
  <si>
    <t>Problem 4</t>
  </si>
  <si>
    <t>Problem 5</t>
  </si>
  <si>
    <t>22.4/87.8/0.046/5.39e-07</t>
  </si>
  <si>
    <t>23.6/91.4/0.074/5.57e-07</t>
  </si>
  <si>
    <t>Problem 6</t>
  </si>
  <si>
    <t>Problem 7</t>
  </si>
  <si>
    <t>9.0/28.0/0.033/6.06e-07</t>
  </si>
  <si>
    <t>Problem 8</t>
  </si>
  <si>
    <t>Problem 9</t>
  </si>
  <si>
    <t>51.8/206.0/0.176/3.80e-07</t>
  </si>
  <si>
    <t>16.0/48.0/0.042/8.35e-07</t>
  </si>
  <si>
    <t>28.0/111.0/0.149/8.58e-07</t>
  </si>
  <si>
    <t>16.0/49.0/0.070/4.93e-07</t>
  </si>
  <si>
    <t>54.0/213.0/0.447/3.21e-07</t>
  </si>
  <si>
    <t>MDIDFPM-4</t>
  </si>
  <si>
    <t>MDIDFPM-3</t>
  </si>
  <si>
    <t>MDIDFPM-1</t>
  </si>
  <si>
    <t>Itr/FN/Time/Norm</t>
  </si>
  <si>
    <t>Dim(d)</t>
  </si>
  <si>
    <t>Problem (p)</t>
  </si>
  <si>
    <t>Total Problem 45</t>
  </si>
  <si>
    <t>Win</t>
  </si>
  <si>
    <t>Algorithm</t>
  </si>
  <si>
    <t>Percentage</t>
  </si>
  <si>
    <t>CPU Time Analysis of four algorithm</t>
  </si>
  <si>
    <t>Number of iteration  Analysis of four algorithm</t>
  </si>
  <si>
    <t>Number of function evaluation calculation for all algorithms</t>
  </si>
  <si>
    <t>17.2/63.6/0.071/6.37e-07</t>
  </si>
  <si>
    <t>63.8/197.2/0.202/5.73e-07</t>
  </si>
  <si>
    <t>32.6/163.4/0.163/7.61e-07</t>
  </si>
  <si>
    <t>33.6/133.2/0.156/6.28e-07</t>
  </si>
  <si>
    <t>20.4/71.0/0.224/7.01e-07</t>
  </si>
  <si>
    <t>65.6/202.8/0.638/4.87e-07</t>
  </si>
  <si>
    <t>34.4/172.6/0.540/9.04e-07</t>
  </si>
  <si>
    <t>35.0/138.8/0.447/5.51e-07</t>
  </si>
  <si>
    <t>19.6/68.2/0.340/8.45e-07</t>
  </si>
  <si>
    <t>62.4/197.0/0.975/7.60e-07</t>
  </si>
  <si>
    <t>35.2/177.0/0.869/7.59e-07</t>
  </si>
  <si>
    <t>36.0/143.0/0.722/6.42e-07</t>
  </si>
  <si>
    <t>22.0/72.4/0.557/7.54e-07</t>
  </si>
  <si>
    <t>66.0/206.8/1.584/7.28e-07</t>
  </si>
  <si>
    <t>36.8/186.0/1.415/5.98e-07</t>
  </si>
  <si>
    <t>29.4/117.4/0.910/7.00e-07</t>
  </si>
  <si>
    <t>20.8/74.2/0.703/8.52e-07</t>
  </si>
  <si>
    <t>67.6/210.2/1.982/8.06e-07</t>
  </si>
  <si>
    <t>37.0/187.0/1.754/6.48e-07</t>
  </si>
  <si>
    <t>30.8/122.8/1.172/6.71e-07</t>
  </si>
  <si>
    <t>14.0/53.8/0.006/4.58e-07</t>
  </si>
  <si>
    <t>51.2/198.0/0.013/5.17e-07</t>
  </si>
  <si>
    <t>28.8/130.0/0.008/7.25e-07</t>
  </si>
  <si>
    <t>38.0/148.6/0.013/7.64e-07</t>
  </si>
  <si>
    <t>14.6/55.0/0.008/5.89e-07</t>
  </si>
  <si>
    <t>52.8/203.2/0.025/2.06e-07</t>
  </si>
  <si>
    <t>25.0/120.0/0.013/8.03e-07</t>
  </si>
  <si>
    <t>35.2/138.4/0.022/6.66e-07</t>
  </si>
  <si>
    <t>13.4/55.0/0.009/7.36e-07</t>
  </si>
  <si>
    <t>56.4/218.6/0.034/3.86e-07</t>
  </si>
  <si>
    <t>27.4/132.8/0.018/8.77e-07</t>
  </si>
  <si>
    <t>21.8/77.4/0.016/7.58e-07</t>
  </si>
  <si>
    <t>15.6/59.4/0.014/7.04e-07</t>
  </si>
  <si>
    <t>52.8/202.8/0.044/3.24e-07</t>
  </si>
  <si>
    <t>36.6/182.0/0.034/7.31e-07</t>
  </si>
  <si>
    <t>23.0/82.2/0.023/7.12e-07</t>
  </si>
  <si>
    <t>15.4/53.6/0.015/5.21e-07</t>
  </si>
  <si>
    <t>57.0/221.4/0.056/1.87e-07</t>
  </si>
  <si>
    <t>36.8/183.0/0.040/7.08e-07</t>
  </si>
  <si>
    <t>22.6/79.2/0.026/4.65e-07</t>
  </si>
  <si>
    <t>28.0/99.2/0.028/7.51e-07</t>
  </si>
  <si>
    <t>82.2/274.8/0.071/8.41e-07</t>
  </si>
  <si>
    <t>26.0/130.8/0.036/7.40e-07</t>
  </si>
  <si>
    <t>65.0/259.2/0.091/6.07e-07</t>
  </si>
  <si>
    <t>30.8/108.2/0.108/7.90e-07</t>
  </si>
  <si>
    <t>87.8/293.0/0.285/8.81e-07</t>
  </si>
  <si>
    <t>40.8/206.0/0.195/6.52e-07</t>
  </si>
  <si>
    <t>63.0/249.6/0.252/4.81e-07</t>
  </si>
  <si>
    <t>29.0/101.0/0.167/8.21e-07</t>
  </si>
  <si>
    <t>82.8/272.4/0.445/7.89e-07</t>
  </si>
  <si>
    <t>37.2/187.2/0.303/7.27e-07</t>
  </si>
  <si>
    <t>62.0/245.2/0.411/7.10e-07</t>
  </si>
  <si>
    <t>32.6/114.6/0.281/7.84e-07</t>
  </si>
  <si>
    <t>85.8/282.4/0.685/7.70e-07</t>
  </si>
  <si>
    <t>41.8/208.2/0.492/7.73e-07</t>
  </si>
  <si>
    <t>70.2/278.6/0.699/7.44e-07</t>
  </si>
  <si>
    <t>32.2/116.8/0.354/7.75e-07</t>
  </si>
  <si>
    <t>88.4/293.0/0.855/8.87e-07</t>
  </si>
  <si>
    <t>43.0/215.2/0.620/6.37e-07</t>
  </si>
  <si>
    <t>68.0/270.0/0.819/4.82e-07</t>
  </si>
  <si>
    <t>25.6/83.8/0.021/8.70e-07</t>
  </si>
  <si>
    <t>70.4/226.0/0.049/8.10e-07</t>
  </si>
  <si>
    <t>39.4/197.0/0.046/8.30e-07</t>
  </si>
  <si>
    <t>34.8/137.2/0.040/5.90e-07</t>
  </si>
  <si>
    <t>59.0/184.6/0.166/6.17e-07</t>
  </si>
  <si>
    <t>83.4/265.6/0.219/6.68e-07</t>
  </si>
  <si>
    <t>41.6/208.0/0.163/7.83e-07</t>
  </si>
  <si>
    <t>33.0/130.6/0.109/4.94e-07</t>
  </si>
  <si>
    <t>24.8/81.2/0.112/6.56e-07</t>
  </si>
  <si>
    <t>69.6/223.6/0.304/7.63e-07</t>
  </si>
  <si>
    <t>38.0/192.0/0.244/7.64e-07</t>
  </si>
  <si>
    <t>32.8/128.6/0.164/6.89e-07</t>
  </si>
  <si>
    <t>29.4/98.2/0.198/7.39e-07</t>
  </si>
  <si>
    <t>70.0/224.2/0.467/8.89e-07</t>
  </si>
  <si>
    <t>35.6/180.0/0.344/7.53e-07</t>
  </si>
  <si>
    <t>36.4/143.8/0.292/8.00e-07</t>
  </si>
  <si>
    <t>26.8/89.4/0.211/8.49e-07</t>
  </si>
  <si>
    <t>73.0/234.8/0.570/8.65e-07</t>
  </si>
  <si>
    <t>36.6/185.0/0.417/8.23e-07</t>
  </si>
  <si>
    <t>37.6/148.2/0.362/6.94e-07</t>
  </si>
  <si>
    <t>16.6/57.2/0.011/6.11e-07</t>
  </si>
  <si>
    <t>57.2/179.0/0.025/7.38e-07</t>
  </si>
  <si>
    <t>31.6/157.4/0.022/8.46e-07</t>
  </si>
  <si>
    <t>22.2/86.2/0.016/6.84e-07</t>
  </si>
  <si>
    <t>15.6/57.6/0.030/6.89e-07</t>
  </si>
  <si>
    <t>59.0/184.0/0.091/7.14e-07</t>
  </si>
  <si>
    <t>33.2/165.4/0.074/6.80e-07</t>
  </si>
  <si>
    <t>19.4/65.8/0.054/7.12e-07</t>
  </si>
  <si>
    <t>59.4/186.0/0.147/5.77e-07</t>
  </si>
  <si>
    <t>33.2/165.8/0.120/7.62e-07</t>
  </si>
  <si>
    <t>17.2/59.0/0.073/7.32e-07</t>
  </si>
  <si>
    <t>62.2/194.4/0.231/7.25e-07</t>
  </si>
  <si>
    <t>33.4/166.8/0.183/8.74e-07</t>
  </si>
  <si>
    <t>23.8/93.2/0.116/5.79e-07</t>
  </si>
  <si>
    <t>16.0/59.8/0.090/7.26e-07</t>
  </si>
  <si>
    <t>60.8/189.4/0.279/7.83e-07</t>
  </si>
  <si>
    <t>33.8/169.0/0.231/6.93e-07</t>
  </si>
  <si>
    <t>23.8/92.6/0.137/6.70e-07</t>
  </si>
  <si>
    <t>26.6/88.8/0.123/7.31e-07</t>
  </si>
  <si>
    <t>75.4/228.6/0.241/8.10e-07</t>
  </si>
  <si>
    <t>28.8/162.6/0.174/8.71e-07</t>
  </si>
  <si>
    <t>17.4/79.4/0.087/8.08e-07</t>
  </si>
  <si>
    <t>25.0/81.8/0.240/6.79e-07</t>
  </si>
  <si>
    <t>78.6/238.8/0.694/8.46e-07</t>
  </si>
  <si>
    <t>35.4/198.6/0.574/6.44e-07</t>
  </si>
  <si>
    <t>18.8/85.4/0.253/7.92e-07</t>
  </si>
  <si>
    <t>27.8/89.2/0.528/8.25e-07</t>
  </si>
  <si>
    <t>80.0/245.2/1.389/8.22e-07</t>
  </si>
  <si>
    <t xml:space="preserve">35.6/199.6/1.115/8.10e-07 </t>
  </si>
  <si>
    <t>24.6/106.8/0.619/7.18e-07</t>
  </si>
  <si>
    <t xml:space="preserve">30.0/98.6/0.893/5.14e-07 </t>
  </si>
  <si>
    <t>80.6/244.8/2.159/7.69e-07</t>
  </si>
  <si>
    <t>36.0/201.8/1.752/8.06e-07</t>
  </si>
  <si>
    <t>22.0/99.0/0.885/6.57e-07</t>
  </si>
  <si>
    <t>28.8/91.6/0.973/7.89e-07</t>
  </si>
  <si>
    <t>81.8/249.6/2.605/6.94e-07</t>
  </si>
  <si>
    <t>31.0/172.0/1.772/8.47e-07</t>
  </si>
  <si>
    <t>22.2/100.2/1.059/8.11e-07</t>
  </si>
  <si>
    <t>12.4/50.8/0.022/3.23e-07</t>
  </si>
  <si>
    <t>47.8/185.0/0.074/4.33e-07</t>
  </si>
  <si>
    <t>13.0/53.0/0.022/5.46e-07</t>
  </si>
  <si>
    <t>9.0/28.0/0.014/3.68e-07</t>
  </si>
  <si>
    <t>11.6/45.4/0.056/4.92e-07</t>
  </si>
  <si>
    <t>50.4/197.0/0.236/5.88e-07</t>
  </si>
  <si>
    <t>14.0/57.0/0.069/9.84e-07</t>
  </si>
  <si>
    <t>12.2/44.8/0.087/2.63e-07</t>
  </si>
  <si>
    <t>56.8/225.4/0.433/4.07e-07</t>
  </si>
  <si>
    <t>15.0/63.0/0.119/9.67e-07</t>
  </si>
  <si>
    <t>16.0/50.0/0.099/7.07e-07</t>
  </si>
  <si>
    <t>13.2/46.2/0.130/7.42e-07</t>
  </si>
  <si>
    <t>50.6/198.8/0.547/6.09e-07</t>
  </si>
  <si>
    <t>16.0/68.0/0.183/6.38e-07</t>
  </si>
  <si>
    <t>16.0/50.0/0.141/8.98e-07</t>
  </si>
  <si>
    <t>12.8/45.4/0.155/6.28e-07</t>
  </si>
  <si>
    <t>56.2/220.2/0.737/4.38e-07</t>
  </si>
  <si>
    <t>16.0/70.0/0.230/5.36e-07</t>
  </si>
  <si>
    <t>17.0/51.0/0.174/9.92e-07</t>
  </si>
  <si>
    <t>13.6/53.6/0.012/5.69e-07</t>
  </si>
  <si>
    <t>51.8/198.0/0.029/5.73e-07</t>
  </si>
  <si>
    <t>30.2/137.0/0.023/7.13e-07</t>
  </si>
  <si>
    <t>32.0/126.0/0.027/6.34e-07</t>
  </si>
  <si>
    <t>13.6/51.2/0.036/6.11e-07</t>
  </si>
  <si>
    <t>54.4/207.4/0.140/5.85e-07</t>
  </si>
  <si>
    <t>26.4/128.0/0.071/8.14e-07</t>
  </si>
  <si>
    <t>35.8/140.4/0.096/8.85e-07</t>
  </si>
  <si>
    <t>12.6/51.2/0.057/5.57e-07</t>
  </si>
  <si>
    <t>51.2/198.0/0.216/5.09e-07</t>
  </si>
  <si>
    <t>27.0/131.0/0.118/8.73e-07</t>
  </si>
  <si>
    <t>21.2/75.4/0.084/6.28e-07</t>
  </si>
  <si>
    <t>15.4/57.4/0.098/5.75e-07</t>
  </si>
  <si>
    <t>58.6/228.0/0.387/5.93e-07</t>
  </si>
  <si>
    <t>36.6/182.0/0.245/7.43e-07</t>
  </si>
  <si>
    <t>22.2/78.2/0.130/4.18e-07</t>
  </si>
  <si>
    <t>14.4/50.8/0.105/3.68e-07</t>
  </si>
  <si>
    <t>55.8/215.4/0.439/4.87e-07</t>
  </si>
  <si>
    <t>36.6/182.0/0.300/7.69e-07</t>
  </si>
  <si>
    <t>22.4/79.6/0.159/5.09e-07</t>
  </si>
  <si>
    <t>13.6/53.2/0.014/7.03e-07</t>
  </si>
  <si>
    <t>49.8/196.2/0.044/2.74e-07</t>
  </si>
  <si>
    <t>13.8/54.0/0.012/7.59e-07</t>
  </si>
  <si>
    <t>15.0/46.0/0.014/8.03e-07</t>
  </si>
  <si>
    <t>15.4/62.4/0.052/7.29e-07</t>
  </si>
  <si>
    <t>28.0/111.0/0.091/6.51e-07</t>
  </si>
  <si>
    <t>11.4/46.8/0.067/4.90e-07</t>
  </si>
  <si>
    <t>50.4/199.0/0.280/2.09e-07</t>
  </si>
  <si>
    <t>13.0/52.8/0.111/7.35e-07</t>
  </si>
  <si>
    <t>30.0/120.0/0.243/7.29e-07</t>
  </si>
  <si>
    <t>16.0/49.0/0.106/6.27e-07</t>
  </si>
  <si>
    <t>12.6/47.8/0.122/4.87e-07</t>
  </si>
  <si>
    <t>54.0/215.4/0.532/4.36e-07</t>
  </si>
  <si>
    <t>30.0/120.0/0.288/8.15e-07</t>
  </si>
  <si>
    <t>16.0/49.0/0.126/7.00e-07</t>
  </si>
  <si>
    <t>25.8/102.6/0.144/8.73e-07</t>
  </si>
  <si>
    <t>17.2/63.6/0.076/6.37e-07</t>
  </si>
  <si>
    <t>35.0/136.8/0.161/8.78e-07</t>
  </si>
  <si>
    <t>23.4/92.6/0.116/6.69e-07</t>
  </si>
  <si>
    <t>25.4/101.6/0.350/7.86e-07</t>
  </si>
  <si>
    <t>20.4/71.0/0.241/7.01e-07</t>
  </si>
  <si>
    <t>36.0/142.4/0.480/8.62e-07</t>
  </si>
  <si>
    <t>24.2/95.0/0.325/8.25e-07</t>
  </si>
  <si>
    <t>25.2/100.4/0.535/8.19e-07</t>
  </si>
  <si>
    <t>19.6/68.2/0.363/8.45e-07</t>
  </si>
  <si>
    <t>36.6/144.4/0.758/8.69e-07</t>
  </si>
  <si>
    <t>24.8/97.8/0.521/8.96e-07</t>
  </si>
  <si>
    <t>25.6/102.4/0.870/6.87e-07</t>
  </si>
  <si>
    <t>22.0/72.4/0.599/7.54e-07</t>
  </si>
  <si>
    <t>37.0/146.0/1.177/8.33e-07</t>
  </si>
  <si>
    <t>23.8/95.6/0.777/8.43e-07</t>
  </si>
  <si>
    <t>27.8/110.8/1.101/8.49e-07</t>
  </si>
  <si>
    <t>20.8/74.2/0.736/8.52e-07</t>
  </si>
  <si>
    <t>37.4/147.2/1.458/8.63e-07</t>
  </si>
  <si>
    <t>24.2/96.0/0.954/7.89e-07</t>
  </si>
  <si>
    <t>19.8/77.2/0.024/5.09e-07</t>
  </si>
  <si>
    <t>14.0/53.8/0.005/4.58e-07</t>
  </si>
  <si>
    <t>16.0/50.0/0.004/9.26e-07</t>
  </si>
  <si>
    <t>26.2/93.8/0.008/7.74e-07</t>
  </si>
  <si>
    <t>18.4/70.8/0.009/5.44e-07</t>
  </si>
  <si>
    <t>14.6/55.0/0.007/5.89e-07</t>
  </si>
  <si>
    <t>17.0/52.0/0.006/7.29e-07</t>
  </si>
  <si>
    <t>27.2/99.0/0.013/6.30e-07</t>
  </si>
  <si>
    <t>18.2/69.6/0.013/4.84e-07</t>
  </si>
  <si>
    <t>13.4/55.0/0.012/7.36e-07</t>
  </si>
  <si>
    <t>17.0/53.0/0.010/9.59e-07</t>
  </si>
  <si>
    <t>27.2/98.6/0.018/7.25e-07</t>
  </si>
  <si>
    <t>17.2/66.2/0.016/6.35e-07</t>
  </si>
  <si>
    <t>18.0/54.0/0.015/8.20e-07</t>
  </si>
  <si>
    <t>30.0/108.8/0.029/8.46e-07</t>
  </si>
  <si>
    <t>16.8/64.8/0.016/8.30e-07</t>
  </si>
  <si>
    <t>15.4/53.6/0.019/5.21e-07</t>
  </si>
  <si>
    <t>18.0/54.0/0.016/9.80e-07</t>
  </si>
  <si>
    <t>28.8/105.4/0.030/6.27e-07</t>
  </si>
  <si>
    <t>15.2/60.4/0.023/6.76e-07</t>
  </si>
  <si>
    <t>28.0/99.2/0.030/7.51e-07</t>
  </si>
  <si>
    <t>29.6/112.4/0.034/7.96e-07</t>
  </si>
  <si>
    <t>27.4/109.6/0.036/6.10e-07</t>
  </si>
  <si>
    <t>16.0/63.6/0.067/6.68e-07</t>
  </si>
  <si>
    <t>30.8/108.2/0.115/7.90e-07</t>
  </si>
  <si>
    <t>31.4/119.8/0.124/7.13e-07</t>
  </si>
  <si>
    <t>29.2/116.8/0.124/6.72e-07</t>
  </si>
  <si>
    <t xml:space="preserve">15.4/62.0/0.111/6.01e-07 </t>
  </si>
  <si>
    <t>29.0/101.0/0.180/8.21e-07</t>
  </si>
  <si>
    <t>32.4/123.4/0.216/6.20e-07</t>
  </si>
  <si>
    <t>30.0/120.0/0.216/6.69e-07</t>
  </si>
  <si>
    <t>16.4/65.6/0.174/6.20e-07</t>
  </si>
  <si>
    <t>32.6/114.6/0.307/7.84e-07</t>
  </si>
  <si>
    <t>33.0/126.0/0.329/7.18e-07</t>
  </si>
  <si>
    <t>31.0/124.0/0.324/5.96e-07</t>
  </si>
  <si>
    <t>15.8/63.4/0.199/4.64e-07</t>
  </si>
  <si>
    <t>32.2/116.8/0.372/7.75e-07</t>
  </si>
  <si>
    <t xml:space="preserve">33.0/125.4/0.391/8.18e-07 </t>
  </si>
  <si>
    <t>31.0/124.0/0.390/8.65e-07</t>
  </si>
  <si>
    <t>24.0/106.2/0.030/6.41e-07</t>
  </si>
  <si>
    <t>25.6/83.8/0.022/8.70e-07</t>
  </si>
  <si>
    <t>28.4/116.0/0.028/5.31e-07</t>
  </si>
  <si>
    <t>23.4/96.2/0.027/6.16e-07</t>
  </si>
  <si>
    <t>38.8/197.2/0.175/5.47e-07</t>
  </si>
  <si>
    <t>59.0/184.6/0.175/6.17e-07</t>
  </si>
  <si>
    <t>39.2/189.2/0.170/7.61e-07</t>
  </si>
  <si>
    <t>34.6/169.6/0.154/6.79e-07</t>
  </si>
  <si>
    <t>19.2/77.4/0.098/6.66e-07</t>
  </si>
  <si>
    <t>24.8/81.2/0.122/6.56e-07</t>
  </si>
  <si>
    <t>26.8/102.6/0.149/8.09e-07</t>
  </si>
  <si>
    <t>25.6/101.0/0.144/6.68e-07</t>
  </si>
  <si>
    <t>27.4/126.0/0.252/5.79e-07</t>
  </si>
  <si>
    <t>29.4/98.2/0.214/7.39e-07</t>
  </si>
  <si>
    <t>28.0/109.4/0.231/6.78e-07</t>
  </si>
  <si>
    <t>23.8/95.6/0.206/6.58e-07</t>
  </si>
  <si>
    <t>30.8/156.0/0.385/7.41e-07</t>
  </si>
  <si>
    <t>26.8/89.4/0.227/8.49e-07</t>
  </si>
  <si>
    <t>30.4/126.0/0.315/7.74e-07</t>
  </si>
  <si>
    <t>26.8/109.6/0.272/7.27e-07</t>
  </si>
  <si>
    <t>11.0/44.2/0.011/9.52e-07</t>
  </si>
  <si>
    <t>16.6/57.2/0.010/6.11e-07</t>
  </si>
  <si>
    <t>24.6/93.6/0.015/8.45e-07</t>
  </si>
  <si>
    <t>23.0/92.0/0.018/7.58e-07</t>
  </si>
  <si>
    <t xml:space="preserve">12.0/46.0/0.027/4.96e-07 </t>
  </si>
  <si>
    <t>15.6/57.6/0.034/6.89e-07</t>
  </si>
  <si>
    <t>26.0/99.0/0.054/5.00e-07</t>
  </si>
  <si>
    <t>24.0/96.0/0.051/7.13e-07</t>
  </si>
  <si>
    <t>12.0/46.4/0.042/8.32e-07</t>
  </si>
  <si>
    <t>19.4/65.8/0.057/7.12e-07</t>
  </si>
  <si>
    <t>28.0/106.8/0.089/7.96e-07</t>
  </si>
  <si>
    <t>24.0/97.0/0.083/9.24e-07</t>
  </si>
  <si>
    <t>12.0/48.0/0.067/6.85e-07</t>
  </si>
  <si>
    <t>17.2/59.0/0.081/7.32e-07</t>
  </si>
  <si>
    <t>28.6/108.8/0.144/7.95e-07</t>
  </si>
  <si>
    <t>25.0/98.4/0.129/9.24e-07</t>
  </si>
  <si>
    <t>12.0/48.0/0.083/9.41e-07</t>
  </si>
  <si>
    <t>16.0/59.8/0.103/7.26e-07</t>
  </si>
  <si>
    <t>27.8/105.6/0.174/7.69e-07</t>
  </si>
  <si>
    <t>25.0/100.0/0.163/7.61e-07</t>
  </si>
  <si>
    <t>81.0/356.0/0.475/6.57e-07</t>
  </si>
  <si>
    <t>26.6/88.8/0.110/7.31e-07</t>
  </si>
  <si>
    <t>22.6/94.6/0.120/8.93e-07</t>
  </si>
  <si>
    <t>26.0/113.0/0.153/6.57e-07</t>
  </si>
  <si>
    <t>80.4/354.6/1.182/7.54e-07</t>
  </si>
  <si>
    <t>25.0/81.8/0.278/6.79e-07</t>
  </si>
  <si>
    <t>24.6/101.2/0.343/9.41e-07</t>
  </si>
  <si>
    <t>25.0/109.0/0.372/8.13e-07</t>
  </si>
  <si>
    <t>81.0/358.0/2.334/5.69e-07</t>
  </si>
  <si>
    <t>27.8/89.2/0.591/8.25e-07</t>
  </si>
  <si>
    <t>24.0/101.0/0.665/8.95e-07</t>
  </si>
  <si>
    <t>27.4/119.0/0.770/9.57e-07</t>
  </si>
  <si>
    <t>79.8/353.2/3.561/7.86e-07</t>
  </si>
  <si>
    <t>30.0/98.6/1.007/5.14e-07</t>
  </si>
  <si>
    <t xml:space="preserve">25.0/103.4/1.055/8.76e-07 </t>
  </si>
  <si>
    <t>27.0/118.0/1.218/9.30e-07</t>
  </si>
  <si>
    <t xml:space="preserve">79.0/350.0/4.467/9.26e-07 </t>
  </si>
  <si>
    <t>28.8/91.6/1.154/7.89e-07</t>
  </si>
  <si>
    <t>25.0/105.0/1.324/5.35e-07</t>
  </si>
  <si>
    <t>27.0/119.0/1.507/9.71e-07</t>
  </si>
  <si>
    <t>19.0/57.0/0.033/3.93e-07</t>
  </si>
  <si>
    <t>12.4/50.8/0.024/3.23e-07</t>
  </si>
  <si>
    <t>16.0/47.0/0.024/5.88e-07</t>
  </si>
  <si>
    <t>18.0/56.0/0.032/6.57e-07</t>
  </si>
  <si>
    <t>19.0/57.0/0.075/4.32e-07</t>
  </si>
  <si>
    <t>11.6/45.4/0.059/4.92e-07</t>
  </si>
  <si>
    <t>16.0/48.0/0.061/8.55e-07</t>
  </si>
  <si>
    <t>19.0/60.0/0.077/9.73e-07</t>
  </si>
  <si>
    <t>19.0/57.0/0.116/3.54e-07</t>
  </si>
  <si>
    <t>12.2/44.8/0.093/2.63e-07</t>
  </si>
  <si>
    <t>17.0/50.0/0.103/6.26e-07</t>
  </si>
  <si>
    <t>21.0/65.6/0.133/7.46e-07</t>
  </si>
  <si>
    <t>19.0/57.0/0.166/2.94e-07</t>
  </si>
  <si>
    <t>13.2/46.2/0.136/7.42e-07</t>
  </si>
  <si>
    <t>17.0/50.0/0.146/9.63e-07</t>
  </si>
  <si>
    <t>18.6/57.8/0.169/6.28e-07</t>
  </si>
  <si>
    <t>19.0/57.0/0.208/2.68e-07</t>
  </si>
  <si>
    <t>12.8/45.4/0.163/6.28e-07</t>
  </si>
  <si>
    <t>17.0/51.0/0.184/6.11e-07</t>
  </si>
  <si>
    <t>17.6/53.8/0.200/7.85e-07</t>
  </si>
  <si>
    <t>19.2/74.2/0.014/5.80e-07</t>
  </si>
  <si>
    <t>13.6/53.6/0.008/5.69e-07</t>
  </si>
  <si>
    <t xml:space="preserve">16.0/50.0/0.007/9.23e-07 </t>
  </si>
  <si>
    <t>27.0/96.8/0.016/7.47e-07</t>
  </si>
  <si>
    <t>18.2/70.6/0.049/5.58e-07</t>
  </si>
  <si>
    <t>13.6/51.2/0.038/6.11e-07</t>
  </si>
  <si>
    <t>17.0/52.0/0.039/7.30e-07</t>
  </si>
  <si>
    <t>26.6/95.6/0.067/6.47e-07</t>
  </si>
  <si>
    <t>17.8/69.0/0.080/7.63e-07</t>
  </si>
  <si>
    <t>12.6/51.2/0.061/5.57e-07</t>
  </si>
  <si>
    <t>17.0/53.0/0.064/9.60e-07</t>
  </si>
  <si>
    <t>27.0/97.0/0.107/7.28e-07</t>
  </si>
  <si>
    <t>16.8/64.8/0.116/7.58e-07</t>
  </si>
  <si>
    <t>15.4/57.4/0.105/5.75e-07</t>
  </si>
  <si>
    <t>18.0/54.0/0.099/8.22e-07</t>
  </si>
  <si>
    <t>29.0/105.0/0.193/6.65e-07</t>
  </si>
  <si>
    <t>17.2/66.2/0.139/7.27e-07</t>
  </si>
  <si>
    <t>14.4/50.8/0.114/3.68e-07</t>
  </si>
  <si>
    <t>18.0/54.0/0.122/9.80e-07</t>
  </si>
  <si>
    <t>29.4/106.8/0.224/5.56e-07</t>
  </si>
  <si>
    <t>19.0/58.0/0.018/5.10e-07</t>
  </si>
  <si>
    <t>17.0/50.0/0.014/6.28e-07</t>
  </si>
  <si>
    <t>26.6/83.6/0.025/4.17e-07</t>
  </si>
  <si>
    <t>19.0/58.0/0.053/9.30e-07</t>
  </si>
  <si>
    <t>15.4/62.4/0.056/7.29e-07</t>
  </si>
  <si>
    <t>17.0/51.0/0.047/8.97e-07</t>
  </si>
  <si>
    <t>42.6/131.2/0.124/6.62e-07</t>
  </si>
  <si>
    <t xml:space="preserve">21.0/64.0/0.093/2.72e-07 </t>
  </si>
  <si>
    <t>11.4/46.8/0.073/4.90e-07</t>
  </si>
  <si>
    <t>18.0/53.0/0.081/6.50e-07</t>
  </si>
  <si>
    <t>36.6/114.6/0.175/8.00e-07</t>
  </si>
  <si>
    <t>21.0/64.0/0.140/3.07e-07</t>
  </si>
  <si>
    <t>13.0/52.8/0.119/7.35e-07</t>
  </si>
  <si>
    <t>18.0/53.0/0.122/9.68e-07</t>
  </si>
  <si>
    <t>32.6/101.4/0.233/6.54e-07</t>
  </si>
  <si>
    <t>21.0/64.0/0.168/3.24e-07</t>
  </si>
  <si>
    <t>12.6/47.8/0.129/4.87e-07</t>
  </si>
  <si>
    <t>18.0/54.0/0.144/6.04e-07</t>
  </si>
  <si>
    <t>39.2/121.0/0.338/6.58e-07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</si>
</sst>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onsolas"/>
      <family val="3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Fill="1"/>
    <xf numFmtId="0" fontId="0" fillId="0" borderId="0" xfId="0" applyAlignment="1"/>
    <xf numFmtId="1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DF49-E6EC-4BE6-B528-CBD3084956D4}">
  <dimension ref="A2:G56"/>
  <sheetViews>
    <sheetView workbookViewId="0">
      <selection activeCell="O47" sqref="O47"/>
    </sheetView>
  </sheetViews>
  <sheetFormatPr defaultRowHeight="15" x14ac:dyDescent="0.25"/>
  <cols>
    <col min="1" max="1" width="14.5703125" customWidth="1"/>
    <col min="2" max="2" width="12.5703125" customWidth="1"/>
    <col min="3" max="3" width="36.42578125" customWidth="1"/>
    <col min="4" max="4" width="36.7109375" customWidth="1"/>
    <col min="5" max="5" width="38.7109375" customWidth="1"/>
    <col min="6" max="6" width="38" customWidth="1"/>
  </cols>
  <sheetData>
    <row r="2" spans="1:7" x14ac:dyDescent="0.25">
      <c r="C2" s="1" t="s">
        <v>0</v>
      </c>
      <c r="D2" s="1" t="s">
        <v>1</v>
      </c>
      <c r="E2" s="1" t="s">
        <v>2</v>
      </c>
      <c r="F2" s="1" t="s">
        <v>3</v>
      </c>
    </row>
    <row r="3" spans="1:7" x14ac:dyDescent="0.25">
      <c r="A3" s="6" t="s">
        <v>26</v>
      </c>
      <c r="B3" s="6" t="s">
        <v>25</v>
      </c>
      <c r="C3" s="6" t="s">
        <v>24</v>
      </c>
      <c r="D3" s="6" t="s">
        <v>24</v>
      </c>
      <c r="E3" s="6" t="s">
        <v>24</v>
      </c>
      <c r="F3" s="6" t="s">
        <v>24</v>
      </c>
    </row>
    <row r="4" spans="1:7" ht="15.75" customHeight="1" x14ac:dyDescent="0.25">
      <c r="A4" s="5" t="s">
        <v>4</v>
      </c>
      <c r="B4" s="7">
        <v>10000</v>
      </c>
      <c r="C4" s="2" t="s">
        <v>34</v>
      </c>
      <c r="D4" s="2" t="s">
        <v>35</v>
      </c>
      <c r="E4" s="2" t="s">
        <v>36</v>
      </c>
      <c r="F4" s="2" t="s">
        <v>37</v>
      </c>
    </row>
    <row r="5" spans="1:7" ht="15.75" customHeight="1" x14ac:dyDescent="0.25">
      <c r="A5" s="5"/>
      <c r="B5" s="7">
        <v>30000</v>
      </c>
      <c r="C5" s="2" t="s">
        <v>38</v>
      </c>
      <c r="D5" s="2" t="s">
        <v>39</v>
      </c>
      <c r="E5" s="2" t="s">
        <v>40</v>
      </c>
      <c r="F5" s="2" t="s">
        <v>41</v>
      </c>
    </row>
    <row r="6" spans="1:7" ht="15.75" customHeight="1" x14ac:dyDescent="0.25">
      <c r="A6" s="5"/>
      <c r="B6" s="7">
        <v>50000</v>
      </c>
      <c r="C6" s="2" t="s">
        <v>42</v>
      </c>
      <c r="D6" s="2" t="s">
        <v>43</v>
      </c>
      <c r="E6" s="2" t="s">
        <v>44</v>
      </c>
      <c r="F6" s="2" t="s">
        <v>45</v>
      </c>
      <c r="G6" s="3"/>
    </row>
    <row r="7" spans="1:7" ht="15.75" customHeight="1" x14ac:dyDescent="0.25">
      <c r="A7" s="5"/>
      <c r="B7" s="7">
        <v>80000</v>
      </c>
      <c r="C7" s="2" t="s">
        <v>46</v>
      </c>
      <c r="D7" s="2" t="s">
        <v>47</v>
      </c>
      <c r="E7" s="2" t="s">
        <v>48</v>
      </c>
      <c r="F7" s="2" t="s">
        <v>49</v>
      </c>
    </row>
    <row r="8" spans="1:7" ht="15.75" customHeight="1" x14ac:dyDescent="0.25">
      <c r="A8" s="5"/>
      <c r="B8" s="7">
        <v>100000</v>
      </c>
      <c r="C8" s="2" t="s">
        <v>50</v>
      </c>
      <c r="D8" s="2" t="s">
        <v>51</v>
      </c>
      <c r="E8" s="2" t="s">
        <v>52</v>
      </c>
      <c r="F8" s="2" t="s">
        <v>53</v>
      </c>
    </row>
    <row r="10" spans="1:7" ht="15.75" x14ac:dyDescent="0.25">
      <c r="A10" s="5" t="s">
        <v>5</v>
      </c>
      <c r="B10" s="7">
        <v>10000</v>
      </c>
      <c r="C10" s="2" t="s">
        <v>54</v>
      </c>
      <c r="D10" s="2" t="s">
        <v>55</v>
      </c>
      <c r="E10" s="2" t="s">
        <v>56</v>
      </c>
      <c r="F10" s="2" t="s">
        <v>57</v>
      </c>
    </row>
    <row r="11" spans="1:7" ht="15.75" x14ac:dyDescent="0.25">
      <c r="A11" s="5"/>
      <c r="B11" s="7">
        <v>30000</v>
      </c>
      <c r="C11" s="2" t="s">
        <v>58</v>
      </c>
      <c r="D11" s="2" t="s">
        <v>59</v>
      </c>
      <c r="E11" s="2" t="s">
        <v>60</v>
      </c>
      <c r="F11" s="2" t="s">
        <v>61</v>
      </c>
    </row>
    <row r="12" spans="1:7" ht="15.75" x14ac:dyDescent="0.25">
      <c r="A12" s="5"/>
      <c r="B12" s="7">
        <v>50000</v>
      </c>
      <c r="C12" s="2" t="s">
        <v>62</v>
      </c>
      <c r="D12" s="2" t="s">
        <v>63</v>
      </c>
      <c r="E12" s="2" t="s">
        <v>64</v>
      </c>
      <c r="F12" s="2" t="s">
        <v>65</v>
      </c>
    </row>
    <row r="13" spans="1:7" ht="15.75" x14ac:dyDescent="0.25">
      <c r="A13" s="5"/>
      <c r="B13" s="7">
        <v>80000</v>
      </c>
      <c r="C13" s="2" t="s">
        <v>66</v>
      </c>
      <c r="D13" s="2" t="s">
        <v>67</v>
      </c>
      <c r="E13" s="2" t="s">
        <v>68</v>
      </c>
      <c r="F13" s="2" t="s">
        <v>69</v>
      </c>
    </row>
    <row r="14" spans="1:7" ht="15.75" x14ac:dyDescent="0.25">
      <c r="A14" s="5"/>
      <c r="B14" s="7">
        <v>100000</v>
      </c>
      <c r="C14" s="2" t="s">
        <v>70</v>
      </c>
      <c r="D14" s="2" t="s">
        <v>71</v>
      </c>
      <c r="E14" s="2" t="s">
        <v>72</v>
      </c>
      <c r="F14" s="2" t="s">
        <v>73</v>
      </c>
    </row>
    <row r="16" spans="1:7" ht="15.75" x14ac:dyDescent="0.25">
      <c r="A16" s="5" t="s">
        <v>6</v>
      </c>
      <c r="B16" s="7">
        <v>10000</v>
      </c>
      <c r="C16" s="2" t="s">
        <v>74</v>
      </c>
      <c r="D16" s="2" t="s">
        <v>75</v>
      </c>
      <c r="E16" s="2" t="s">
        <v>76</v>
      </c>
      <c r="F16" s="2" t="s">
        <v>77</v>
      </c>
    </row>
    <row r="17" spans="1:6" ht="15.75" x14ac:dyDescent="0.25">
      <c r="A17" s="5"/>
      <c r="B17" s="7">
        <v>30000</v>
      </c>
      <c r="C17" s="2" t="s">
        <v>78</v>
      </c>
      <c r="D17" s="2" t="s">
        <v>79</v>
      </c>
      <c r="E17" s="2" t="s">
        <v>80</v>
      </c>
      <c r="F17" s="2" t="s">
        <v>81</v>
      </c>
    </row>
    <row r="18" spans="1:6" ht="15.75" x14ac:dyDescent="0.25">
      <c r="A18" s="5"/>
      <c r="B18" s="7">
        <v>50000</v>
      </c>
      <c r="C18" s="2" t="s">
        <v>82</v>
      </c>
      <c r="D18" s="2" t="s">
        <v>83</v>
      </c>
      <c r="E18" s="2" t="s">
        <v>84</v>
      </c>
      <c r="F18" s="2" t="s">
        <v>85</v>
      </c>
    </row>
    <row r="19" spans="1:6" ht="15.75" x14ac:dyDescent="0.25">
      <c r="A19" s="5"/>
      <c r="B19" s="7">
        <v>80000</v>
      </c>
      <c r="C19" s="2" t="s">
        <v>86</v>
      </c>
      <c r="D19" s="2" t="s">
        <v>87</v>
      </c>
      <c r="E19" s="2" t="s">
        <v>88</v>
      </c>
      <c r="F19" s="2" t="s">
        <v>89</v>
      </c>
    </row>
    <row r="20" spans="1:6" ht="15.75" x14ac:dyDescent="0.25">
      <c r="A20" s="5"/>
      <c r="B20" s="7">
        <v>100000</v>
      </c>
      <c r="C20" s="2" t="s">
        <v>90</v>
      </c>
      <c r="D20" s="2" t="s">
        <v>91</v>
      </c>
      <c r="E20" s="2" t="s">
        <v>92</v>
      </c>
      <c r="F20" s="2" t="s">
        <v>93</v>
      </c>
    </row>
    <row r="22" spans="1:6" ht="15.75" x14ac:dyDescent="0.25">
      <c r="A22" s="5" t="s">
        <v>7</v>
      </c>
      <c r="B22" s="7">
        <v>10000</v>
      </c>
      <c r="C22" s="2" t="s">
        <v>94</v>
      </c>
      <c r="D22" s="2" t="s">
        <v>95</v>
      </c>
      <c r="E22" s="2" t="s">
        <v>96</v>
      </c>
      <c r="F22" s="2" t="s">
        <v>97</v>
      </c>
    </row>
    <row r="23" spans="1:6" ht="15.75" x14ac:dyDescent="0.25">
      <c r="A23" s="5"/>
      <c r="B23" s="7">
        <v>30000</v>
      </c>
      <c r="C23" s="2" t="s">
        <v>98</v>
      </c>
      <c r="D23" s="2" t="s">
        <v>99</v>
      </c>
      <c r="E23" s="2" t="s">
        <v>100</v>
      </c>
      <c r="F23" s="2" t="s">
        <v>101</v>
      </c>
    </row>
    <row r="24" spans="1:6" ht="15.75" x14ac:dyDescent="0.25">
      <c r="A24" s="5"/>
      <c r="B24" s="7">
        <v>50000</v>
      </c>
      <c r="C24" s="2" t="s">
        <v>102</v>
      </c>
      <c r="D24" s="2" t="s">
        <v>103</v>
      </c>
      <c r="E24" s="2" t="s">
        <v>104</v>
      </c>
      <c r="F24" s="2" t="s">
        <v>105</v>
      </c>
    </row>
    <row r="25" spans="1:6" ht="15.75" x14ac:dyDescent="0.25">
      <c r="A25" s="5"/>
      <c r="B25" s="7">
        <v>80000</v>
      </c>
      <c r="C25" s="2" t="s">
        <v>106</v>
      </c>
      <c r="D25" s="2" t="s">
        <v>107</v>
      </c>
      <c r="E25" s="2" t="s">
        <v>108</v>
      </c>
      <c r="F25" s="2" t="s">
        <v>109</v>
      </c>
    </row>
    <row r="26" spans="1:6" ht="15.75" x14ac:dyDescent="0.25">
      <c r="A26" s="5"/>
      <c r="B26" s="7">
        <v>100000</v>
      </c>
      <c r="C26" s="2" t="s">
        <v>110</v>
      </c>
      <c r="D26" s="2" t="s">
        <v>111</v>
      </c>
      <c r="E26" s="2" t="s">
        <v>112</v>
      </c>
      <c r="F26" s="2" t="s">
        <v>113</v>
      </c>
    </row>
    <row r="28" spans="1:6" ht="15.75" x14ac:dyDescent="0.25">
      <c r="A28" s="5" t="s">
        <v>8</v>
      </c>
      <c r="B28" s="7">
        <v>10000</v>
      </c>
      <c r="C28" s="2" t="s">
        <v>114</v>
      </c>
      <c r="D28" s="2" t="s">
        <v>115</v>
      </c>
      <c r="E28" s="2" t="s">
        <v>116</v>
      </c>
      <c r="F28" s="2" t="s">
        <v>117</v>
      </c>
    </row>
    <row r="29" spans="1:6" ht="15.75" x14ac:dyDescent="0.25">
      <c r="A29" s="5"/>
      <c r="B29" s="7">
        <v>30000</v>
      </c>
      <c r="C29" s="2" t="s">
        <v>118</v>
      </c>
      <c r="D29" s="2" t="s">
        <v>119</v>
      </c>
      <c r="E29" s="2" t="s">
        <v>120</v>
      </c>
      <c r="F29" s="2" t="s">
        <v>9</v>
      </c>
    </row>
    <row r="30" spans="1:6" ht="15.75" x14ac:dyDescent="0.25">
      <c r="A30" s="5"/>
      <c r="B30" s="7">
        <v>50000</v>
      </c>
      <c r="C30" s="2" t="s">
        <v>121</v>
      </c>
      <c r="D30" s="2" t="s">
        <v>122</v>
      </c>
      <c r="E30" s="2" t="s">
        <v>123</v>
      </c>
      <c r="F30" s="2" t="s">
        <v>10</v>
      </c>
    </row>
    <row r="31" spans="1:6" ht="15.75" x14ac:dyDescent="0.25">
      <c r="A31" s="5"/>
      <c r="B31" s="7">
        <v>80000</v>
      </c>
      <c r="C31" s="2" t="s">
        <v>124</v>
      </c>
      <c r="D31" s="2" t="s">
        <v>125</v>
      </c>
      <c r="E31" s="2" t="s">
        <v>126</v>
      </c>
      <c r="F31" s="2" t="s">
        <v>127</v>
      </c>
    </row>
    <row r="32" spans="1:6" ht="15.75" x14ac:dyDescent="0.25">
      <c r="A32" s="5"/>
      <c r="B32" s="7">
        <v>100000</v>
      </c>
      <c r="C32" s="2" t="s">
        <v>128</v>
      </c>
      <c r="D32" s="2" t="s">
        <v>129</v>
      </c>
      <c r="E32" s="2" t="s">
        <v>130</v>
      </c>
      <c r="F32" s="2" t="s">
        <v>131</v>
      </c>
    </row>
    <row r="34" spans="1:6" ht="15.75" x14ac:dyDescent="0.25">
      <c r="A34" s="5" t="s">
        <v>11</v>
      </c>
      <c r="B34" s="7">
        <v>10000</v>
      </c>
      <c r="C34" s="2" t="s">
        <v>132</v>
      </c>
      <c r="D34" s="2" t="s">
        <v>133</v>
      </c>
      <c r="E34" s="2" t="s">
        <v>134</v>
      </c>
      <c r="F34" s="2" t="s">
        <v>135</v>
      </c>
    </row>
    <row r="35" spans="1:6" ht="15.75" x14ac:dyDescent="0.25">
      <c r="A35" s="5"/>
      <c r="B35" s="7">
        <v>30000</v>
      </c>
      <c r="C35" s="2" t="s">
        <v>136</v>
      </c>
      <c r="D35" s="2" t="s">
        <v>137</v>
      </c>
      <c r="E35" s="2" t="s">
        <v>138</v>
      </c>
      <c r="F35" s="2" t="s">
        <v>139</v>
      </c>
    </row>
    <row r="36" spans="1:6" ht="15.75" x14ac:dyDescent="0.25">
      <c r="A36" s="5"/>
      <c r="B36" s="7">
        <v>50000</v>
      </c>
      <c r="C36" s="2" t="s">
        <v>140</v>
      </c>
      <c r="D36" s="2" t="s">
        <v>141</v>
      </c>
      <c r="E36" s="2" t="s">
        <v>142</v>
      </c>
      <c r="F36" s="2" t="s">
        <v>143</v>
      </c>
    </row>
    <row r="37" spans="1:6" ht="15.75" x14ac:dyDescent="0.25">
      <c r="A37" s="5"/>
      <c r="B37" s="7">
        <v>80000</v>
      </c>
      <c r="C37" s="2" t="s">
        <v>144</v>
      </c>
      <c r="D37" s="2" t="s">
        <v>145</v>
      </c>
      <c r="E37" s="2" t="s">
        <v>146</v>
      </c>
      <c r="F37" s="2" t="s">
        <v>147</v>
      </c>
    </row>
    <row r="38" spans="1:6" ht="15.75" x14ac:dyDescent="0.25">
      <c r="A38" s="5"/>
      <c r="B38" s="7">
        <v>100000</v>
      </c>
      <c r="C38" s="2" t="s">
        <v>148</v>
      </c>
      <c r="D38" s="2" t="s">
        <v>149</v>
      </c>
      <c r="E38" s="2" t="s">
        <v>150</v>
      </c>
      <c r="F38" s="2" t="s">
        <v>151</v>
      </c>
    </row>
    <row r="40" spans="1:6" ht="15.75" x14ac:dyDescent="0.25">
      <c r="A40" s="5" t="s">
        <v>12</v>
      </c>
      <c r="B40" s="7">
        <v>10000</v>
      </c>
      <c r="C40" s="2" t="s">
        <v>152</v>
      </c>
      <c r="D40" s="2" t="s">
        <v>153</v>
      </c>
      <c r="E40" s="2" t="s">
        <v>154</v>
      </c>
      <c r="F40" s="2" t="s">
        <v>155</v>
      </c>
    </row>
    <row r="41" spans="1:6" ht="15.75" x14ac:dyDescent="0.25">
      <c r="A41" s="5"/>
      <c r="B41" s="7">
        <v>30000</v>
      </c>
      <c r="C41" s="2" t="s">
        <v>156</v>
      </c>
      <c r="D41" s="2" t="s">
        <v>157</v>
      </c>
      <c r="E41" s="2" t="s">
        <v>158</v>
      </c>
      <c r="F41" s="2" t="s">
        <v>13</v>
      </c>
    </row>
    <row r="42" spans="1:6" ht="15.75" x14ac:dyDescent="0.25">
      <c r="A42" s="5"/>
      <c r="B42" s="7">
        <v>50000</v>
      </c>
      <c r="C42" s="2" t="s">
        <v>159</v>
      </c>
      <c r="D42" s="2" t="s">
        <v>160</v>
      </c>
      <c r="E42" s="2" t="s">
        <v>161</v>
      </c>
      <c r="F42" s="2" t="s">
        <v>162</v>
      </c>
    </row>
    <row r="43" spans="1:6" ht="15.75" x14ac:dyDescent="0.25">
      <c r="A43" s="5"/>
      <c r="B43" s="7">
        <v>80000</v>
      </c>
      <c r="C43" s="2" t="s">
        <v>163</v>
      </c>
      <c r="D43" s="2" t="s">
        <v>164</v>
      </c>
      <c r="E43" s="2" t="s">
        <v>165</v>
      </c>
      <c r="F43" s="2" t="s">
        <v>166</v>
      </c>
    </row>
    <row r="44" spans="1:6" ht="15.75" x14ac:dyDescent="0.25">
      <c r="A44" s="5"/>
      <c r="B44" s="7">
        <v>100000</v>
      </c>
      <c r="C44" s="2" t="s">
        <v>167</v>
      </c>
      <c r="D44" s="2" t="s">
        <v>168</v>
      </c>
      <c r="E44" s="2" t="s">
        <v>169</v>
      </c>
      <c r="F44" s="2" t="s">
        <v>170</v>
      </c>
    </row>
    <row r="45" spans="1:6" ht="15.75" x14ac:dyDescent="0.25">
      <c r="C45" s="3"/>
      <c r="D45" s="3"/>
      <c r="E45" s="3"/>
      <c r="F45" s="3"/>
    </row>
    <row r="46" spans="1:6" ht="15.75" x14ac:dyDescent="0.25">
      <c r="A46" s="5" t="s">
        <v>14</v>
      </c>
      <c r="B46" s="7">
        <v>10000</v>
      </c>
      <c r="C46" s="2" t="s">
        <v>171</v>
      </c>
      <c r="D46" s="2" t="s">
        <v>172</v>
      </c>
      <c r="E46" s="2" t="s">
        <v>173</v>
      </c>
      <c r="F46" s="2" t="s">
        <v>174</v>
      </c>
    </row>
    <row r="47" spans="1:6" ht="15.75" x14ac:dyDescent="0.25">
      <c r="A47" s="5"/>
      <c r="B47" s="7">
        <v>30000</v>
      </c>
      <c r="C47" s="2" t="s">
        <v>175</v>
      </c>
      <c r="D47" s="2" t="s">
        <v>176</v>
      </c>
      <c r="E47" s="2" t="s">
        <v>177</v>
      </c>
      <c r="F47" s="2" t="s">
        <v>178</v>
      </c>
    </row>
    <row r="48" spans="1:6" ht="15.75" x14ac:dyDescent="0.25">
      <c r="A48" s="5"/>
      <c r="B48" s="7">
        <v>50000</v>
      </c>
      <c r="C48" s="2" t="s">
        <v>179</v>
      </c>
      <c r="D48" s="2" t="s">
        <v>180</v>
      </c>
      <c r="E48" s="2" t="s">
        <v>181</v>
      </c>
      <c r="F48" s="2" t="s">
        <v>182</v>
      </c>
    </row>
    <row r="49" spans="1:6" ht="15.75" x14ac:dyDescent="0.25">
      <c r="A49" s="5"/>
      <c r="B49" s="7">
        <v>80000</v>
      </c>
      <c r="C49" s="2" t="s">
        <v>183</v>
      </c>
      <c r="D49" s="2" t="s">
        <v>184</v>
      </c>
      <c r="E49" s="2" t="s">
        <v>185</v>
      </c>
      <c r="F49" s="2" t="s">
        <v>186</v>
      </c>
    </row>
    <row r="50" spans="1:6" ht="15.75" x14ac:dyDescent="0.25">
      <c r="A50" s="5"/>
      <c r="B50" s="7">
        <v>100000</v>
      </c>
      <c r="C50" s="2" t="s">
        <v>187</v>
      </c>
      <c r="D50" s="2" t="s">
        <v>188</v>
      </c>
      <c r="E50" s="2" t="s">
        <v>189</v>
      </c>
      <c r="F50" s="2" t="s">
        <v>190</v>
      </c>
    </row>
    <row r="52" spans="1:6" ht="15.75" x14ac:dyDescent="0.25">
      <c r="A52" s="5" t="s">
        <v>15</v>
      </c>
      <c r="B52" s="7">
        <v>10000</v>
      </c>
      <c r="C52" s="2" t="s">
        <v>191</v>
      </c>
      <c r="D52" s="2" t="s">
        <v>192</v>
      </c>
      <c r="E52" s="2" t="s">
        <v>193</v>
      </c>
      <c r="F52" s="2" t="s">
        <v>194</v>
      </c>
    </row>
    <row r="53" spans="1:6" ht="15.75" x14ac:dyDescent="0.25">
      <c r="A53" s="5"/>
      <c r="B53" s="7">
        <v>30000</v>
      </c>
      <c r="C53" s="2" t="s">
        <v>195</v>
      </c>
      <c r="D53" s="2" t="s">
        <v>16</v>
      </c>
      <c r="E53" s="2" t="s">
        <v>196</v>
      </c>
      <c r="F53" s="2" t="s">
        <v>17</v>
      </c>
    </row>
    <row r="54" spans="1:6" ht="15.75" x14ac:dyDescent="0.25">
      <c r="A54" s="5"/>
      <c r="B54" s="7">
        <v>50000</v>
      </c>
      <c r="C54" s="2" t="s">
        <v>197</v>
      </c>
      <c r="D54" s="2" t="s">
        <v>198</v>
      </c>
      <c r="E54" s="2" t="s">
        <v>18</v>
      </c>
      <c r="F54" s="2" t="s">
        <v>19</v>
      </c>
    </row>
    <row r="55" spans="1:6" ht="15.75" x14ac:dyDescent="0.25">
      <c r="A55" s="5"/>
      <c r="B55" s="7">
        <v>80000</v>
      </c>
      <c r="C55" s="2" t="s">
        <v>199</v>
      </c>
      <c r="D55" s="2" t="s">
        <v>20</v>
      </c>
      <c r="E55" s="2" t="s">
        <v>200</v>
      </c>
      <c r="F55" s="2" t="s">
        <v>201</v>
      </c>
    </row>
    <row r="56" spans="1:6" ht="15.75" x14ac:dyDescent="0.25">
      <c r="A56" s="5"/>
      <c r="B56" s="7">
        <v>100000</v>
      </c>
      <c r="C56" s="2" t="s">
        <v>202</v>
      </c>
      <c r="D56" s="2" t="s">
        <v>203</v>
      </c>
      <c r="E56" s="2" t="s">
        <v>204</v>
      </c>
      <c r="F56" s="2" t="s">
        <v>205</v>
      </c>
    </row>
  </sheetData>
  <mergeCells count="9">
    <mergeCell ref="A34:A38"/>
    <mergeCell ref="A40:A44"/>
    <mergeCell ref="A46:A50"/>
    <mergeCell ref="A52:A56"/>
    <mergeCell ref="A10:A14"/>
    <mergeCell ref="A4:A8"/>
    <mergeCell ref="A16:A20"/>
    <mergeCell ref="A22:A26"/>
    <mergeCell ref="A28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094E-4388-4B5C-97A3-8B64BCFEB25F}">
  <dimension ref="A2:F56"/>
  <sheetViews>
    <sheetView topLeftCell="A29" workbookViewId="0">
      <selection activeCell="J50" sqref="J50"/>
    </sheetView>
  </sheetViews>
  <sheetFormatPr defaultRowHeight="15" x14ac:dyDescent="0.25"/>
  <cols>
    <col min="1" max="1" width="14" customWidth="1"/>
    <col min="2" max="2" width="10.5703125" customWidth="1"/>
    <col min="3" max="3" width="35.42578125" customWidth="1"/>
    <col min="4" max="4" width="35.85546875" customWidth="1"/>
    <col min="5" max="5" width="35.5703125" customWidth="1"/>
    <col min="6" max="6" width="37.42578125" customWidth="1"/>
  </cols>
  <sheetData>
    <row r="2" spans="1:6" x14ac:dyDescent="0.25">
      <c r="C2" s="6" t="s">
        <v>23</v>
      </c>
      <c r="D2" s="6" t="s">
        <v>0</v>
      </c>
      <c r="E2" s="6" t="s">
        <v>22</v>
      </c>
      <c r="F2" s="6" t="s">
        <v>21</v>
      </c>
    </row>
    <row r="3" spans="1:6" x14ac:dyDescent="0.25">
      <c r="A3" s="6" t="s">
        <v>26</v>
      </c>
      <c r="B3" s="6" t="s">
        <v>25</v>
      </c>
      <c r="C3" s="6" t="s">
        <v>24</v>
      </c>
      <c r="D3" s="6" t="s">
        <v>24</v>
      </c>
      <c r="E3" s="6" t="s">
        <v>24</v>
      </c>
      <c r="F3" s="6" t="s">
        <v>24</v>
      </c>
    </row>
    <row r="4" spans="1:6" ht="15.75" x14ac:dyDescent="0.25">
      <c r="A4" s="5" t="s">
        <v>4</v>
      </c>
      <c r="B4" s="7">
        <v>10000</v>
      </c>
      <c r="C4" s="2" t="s">
        <v>206</v>
      </c>
      <c r="D4" s="2" t="s">
        <v>207</v>
      </c>
      <c r="E4" s="2" t="s">
        <v>208</v>
      </c>
      <c r="F4" s="2" t="s">
        <v>209</v>
      </c>
    </row>
    <row r="5" spans="1:6" ht="15.75" x14ac:dyDescent="0.25">
      <c r="A5" s="5"/>
      <c r="B5" s="7">
        <v>30000</v>
      </c>
      <c r="C5" s="2" t="s">
        <v>210</v>
      </c>
      <c r="D5" s="2" t="s">
        <v>211</v>
      </c>
      <c r="E5" s="2" t="s">
        <v>212</v>
      </c>
      <c r="F5" s="2" t="s">
        <v>213</v>
      </c>
    </row>
    <row r="6" spans="1:6" ht="15.75" x14ac:dyDescent="0.25">
      <c r="A6" s="5"/>
      <c r="B6" s="7">
        <v>50000</v>
      </c>
      <c r="C6" s="2" t="s">
        <v>214</v>
      </c>
      <c r="D6" s="2" t="s">
        <v>215</v>
      </c>
      <c r="E6" s="2" t="s">
        <v>216</v>
      </c>
      <c r="F6" s="2" t="s">
        <v>217</v>
      </c>
    </row>
    <row r="7" spans="1:6" ht="15.75" x14ac:dyDescent="0.25">
      <c r="A7" s="5"/>
      <c r="B7" s="7">
        <v>80000</v>
      </c>
      <c r="C7" s="2" t="s">
        <v>218</v>
      </c>
      <c r="D7" s="2" t="s">
        <v>219</v>
      </c>
      <c r="E7" s="2" t="s">
        <v>220</v>
      </c>
      <c r="F7" s="2" t="s">
        <v>221</v>
      </c>
    </row>
    <row r="8" spans="1:6" ht="15.75" x14ac:dyDescent="0.25">
      <c r="A8" s="5"/>
      <c r="B8" s="7">
        <v>100000</v>
      </c>
      <c r="C8" s="2" t="s">
        <v>222</v>
      </c>
      <c r="D8" s="2" t="s">
        <v>223</v>
      </c>
      <c r="E8" s="2" t="s">
        <v>224</v>
      </c>
      <c r="F8" s="2" t="s">
        <v>225</v>
      </c>
    </row>
    <row r="10" spans="1:6" ht="15.75" x14ac:dyDescent="0.25">
      <c r="A10" s="5" t="s">
        <v>5</v>
      </c>
      <c r="B10" s="7">
        <v>10000</v>
      </c>
      <c r="C10" s="2" t="s">
        <v>226</v>
      </c>
      <c r="D10" s="2" t="s">
        <v>227</v>
      </c>
      <c r="E10" s="2" t="s">
        <v>228</v>
      </c>
      <c r="F10" s="2" t="s">
        <v>229</v>
      </c>
    </row>
    <row r="11" spans="1:6" ht="15.75" x14ac:dyDescent="0.25">
      <c r="A11" s="5"/>
      <c r="B11" s="7">
        <v>30000</v>
      </c>
      <c r="C11" s="2" t="s">
        <v>230</v>
      </c>
      <c r="D11" s="2" t="s">
        <v>231</v>
      </c>
      <c r="E11" s="2" t="s">
        <v>232</v>
      </c>
      <c r="F11" s="2" t="s">
        <v>233</v>
      </c>
    </row>
    <row r="12" spans="1:6" ht="15.75" x14ac:dyDescent="0.25">
      <c r="A12" s="5"/>
      <c r="B12" s="7">
        <v>50000</v>
      </c>
      <c r="C12" s="2" t="s">
        <v>234</v>
      </c>
      <c r="D12" s="2" t="s">
        <v>235</v>
      </c>
      <c r="E12" s="2" t="s">
        <v>236</v>
      </c>
      <c r="F12" s="2" t="s">
        <v>237</v>
      </c>
    </row>
    <row r="13" spans="1:6" ht="15.75" x14ac:dyDescent="0.25">
      <c r="A13" s="5"/>
      <c r="B13" s="7">
        <v>80000</v>
      </c>
      <c r="C13" s="2" t="s">
        <v>238</v>
      </c>
      <c r="D13" s="2" t="s">
        <v>66</v>
      </c>
      <c r="E13" s="2" t="s">
        <v>239</v>
      </c>
      <c r="F13" s="2" t="s">
        <v>240</v>
      </c>
    </row>
    <row r="14" spans="1:6" ht="15.75" x14ac:dyDescent="0.25">
      <c r="A14" s="5"/>
      <c r="B14" s="7">
        <v>100000</v>
      </c>
      <c r="C14" s="2" t="s">
        <v>241</v>
      </c>
      <c r="D14" s="2" t="s">
        <v>242</v>
      </c>
      <c r="E14" s="2" t="s">
        <v>243</v>
      </c>
      <c r="F14" s="2" t="s">
        <v>244</v>
      </c>
    </row>
    <row r="16" spans="1:6" ht="15.75" x14ac:dyDescent="0.25">
      <c r="A16" s="5" t="s">
        <v>6</v>
      </c>
      <c r="B16" s="7">
        <v>10000</v>
      </c>
      <c r="C16" s="2" t="s">
        <v>245</v>
      </c>
      <c r="D16" s="2" t="s">
        <v>246</v>
      </c>
      <c r="E16" s="2" t="s">
        <v>247</v>
      </c>
      <c r="F16" s="2" t="s">
        <v>248</v>
      </c>
    </row>
    <row r="17" spans="1:6" ht="15.75" x14ac:dyDescent="0.25">
      <c r="A17" s="5"/>
      <c r="B17" s="7">
        <v>30000</v>
      </c>
      <c r="C17" s="2" t="s">
        <v>249</v>
      </c>
      <c r="D17" s="2" t="s">
        <v>250</v>
      </c>
      <c r="E17" s="2" t="s">
        <v>251</v>
      </c>
      <c r="F17" s="2" t="s">
        <v>252</v>
      </c>
    </row>
    <row r="18" spans="1:6" ht="15.75" x14ac:dyDescent="0.25">
      <c r="A18" s="5"/>
      <c r="B18" s="7">
        <v>50000</v>
      </c>
      <c r="C18" s="2" t="s">
        <v>253</v>
      </c>
      <c r="D18" s="2" t="s">
        <v>254</v>
      </c>
      <c r="E18" s="2" t="s">
        <v>255</v>
      </c>
      <c r="F18" s="2" t="s">
        <v>256</v>
      </c>
    </row>
    <row r="19" spans="1:6" ht="15.75" x14ac:dyDescent="0.25">
      <c r="A19" s="5"/>
      <c r="B19" s="7">
        <v>80000</v>
      </c>
      <c r="C19" s="2" t="s">
        <v>257</v>
      </c>
      <c r="D19" s="2" t="s">
        <v>258</v>
      </c>
      <c r="E19" s="2" t="s">
        <v>259</v>
      </c>
      <c r="F19" s="2" t="s">
        <v>260</v>
      </c>
    </row>
    <row r="20" spans="1:6" ht="15.75" x14ac:dyDescent="0.25">
      <c r="A20" s="5"/>
      <c r="B20" s="7">
        <v>100000</v>
      </c>
      <c r="C20" s="2" t="s">
        <v>261</v>
      </c>
      <c r="D20" s="2" t="s">
        <v>262</v>
      </c>
      <c r="E20" s="2" t="s">
        <v>263</v>
      </c>
      <c r="F20" s="2" t="s">
        <v>264</v>
      </c>
    </row>
    <row r="22" spans="1:6" ht="15.75" x14ac:dyDescent="0.25">
      <c r="A22" s="5" t="s">
        <v>7</v>
      </c>
      <c r="B22" s="7">
        <v>10000</v>
      </c>
      <c r="C22" s="2" t="s">
        <v>265</v>
      </c>
      <c r="D22" s="2" t="s">
        <v>266</v>
      </c>
      <c r="E22" s="2" t="s">
        <v>267</v>
      </c>
      <c r="F22" s="2" t="s">
        <v>268</v>
      </c>
    </row>
    <row r="23" spans="1:6" ht="15.75" x14ac:dyDescent="0.25">
      <c r="A23" s="5"/>
      <c r="B23" s="7">
        <v>30000</v>
      </c>
      <c r="C23" s="2" t="s">
        <v>269</v>
      </c>
      <c r="D23" s="2" t="s">
        <v>270</v>
      </c>
      <c r="E23" s="2" t="s">
        <v>271</v>
      </c>
      <c r="F23" s="2" t="s">
        <v>272</v>
      </c>
    </row>
    <row r="24" spans="1:6" ht="15.75" x14ac:dyDescent="0.25">
      <c r="A24" s="5"/>
      <c r="B24" s="7">
        <v>50000</v>
      </c>
      <c r="C24" s="2" t="s">
        <v>273</v>
      </c>
      <c r="D24" s="2" t="s">
        <v>274</v>
      </c>
      <c r="E24" s="2" t="s">
        <v>275</v>
      </c>
      <c r="F24" s="2" t="s">
        <v>276</v>
      </c>
    </row>
    <row r="25" spans="1:6" ht="15.75" x14ac:dyDescent="0.25">
      <c r="A25" s="5"/>
      <c r="B25" s="7">
        <v>80000</v>
      </c>
      <c r="C25" s="2" t="s">
        <v>277</v>
      </c>
      <c r="D25" s="2" t="s">
        <v>278</v>
      </c>
      <c r="E25" s="2" t="s">
        <v>279</v>
      </c>
      <c r="F25" s="2" t="s">
        <v>280</v>
      </c>
    </row>
    <row r="26" spans="1:6" ht="15.75" x14ac:dyDescent="0.25">
      <c r="A26" s="5"/>
      <c r="B26" s="7">
        <v>100000</v>
      </c>
      <c r="C26" s="2" t="s">
        <v>281</v>
      </c>
      <c r="D26" s="2" t="s">
        <v>282</v>
      </c>
      <c r="E26" s="2" t="s">
        <v>283</v>
      </c>
      <c r="F26" s="2" t="s">
        <v>284</v>
      </c>
    </row>
    <row r="28" spans="1:6" ht="15.75" x14ac:dyDescent="0.25">
      <c r="A28" s="5" t="s">
        <v>8</v>
      </c>
      <c r="B28" s="7">
        <v>10000</v>
      </c>
      <c r="C28" s="8" t="s">
        <v>285</v>
      </c>
      <c r="D28" s="8" t="s">
        <v>286</v>
      </c>
      <c r="E28" s="8" t="s">
        <v>287</v>
      </c>
      <c r="F28" s="8" t="s">
        <v>288</v>
      </c>
    </row>
    <row r="29" spans="1:6" ht="15.75" x14ac:dyDescent="0.25">
      <c r="A29" s="5"/>
      <c r="B29" s="7">
        <v>30000</v>
      </c>
      <c r="C29" s="8" t="s">
        <v>289</v>
      </c>
      <c r="D29" s="8" t="s">
        <v>290</v>
      </c>
      <c r="E29" s="8" t="s">
        <v>291</v>
      </c>
      <c r="F29" s="8" t="s">
        <v>292</v>
      </c>
    </row>
    <row r="30" spans="1:6" ht="15.75" x14ac:dyDescent="0.25">
      <c r="A30" s="5"/>
      <c r="B30" s="7">
        <v>50000</v>
      </c>
      <c r="C30" s="8" t="s">
        <v>293</v>
      </c>
      <c r="D30" s="8" t="s">
        <v>294</v>
      </c>
      <c r="E30" s="8" t="s">
        <v>295</v>
      </c>
      <c r="F30" s="8" t="s">
        <v>296</v>
      </c>
    </row>
    <row r="31" spans="1:6" ht="15.75" x14ac:dyDescent="0.25">
      <c r="A31" s="5"/>
      <c r="B31" s="7">
        <v>80000</v>
      </c>
      <c r="C31" s="8" t="s">
        <v>297</v>
      </c>
      <c r="D31" s="8" t="s">
        <v>298</v>
      </c>
      <c r="E31" s="8" t="s">
        <v>299</v>
      </c>
      <c r="F31" s="8" t="s">
        <v>300</v>
      </c>
    </row>
    <row r="32" spans="1:6" ht="15.75" x14ac:dyDescent="0.25">
      <c r="A32" s="5"/>
      <c r="B32" s="7">
        <v>100000</v>
      </c>
      <c r="C32" s="8" t="s">
        <v>301</v>
      </c>
      <c r="D32" s="8" t="s">
        <v>302</v>
      </c>
      <c r="E32" s="8" t="s">
        <v>303</v>
      </c>
      <c r="F32" s="8" t="s">
        <v>304</v>
      </c>
    </row>
    <row r="34" spans="1:6" ht="15.75" x14ac:dyDescent="0.25">
      <c r="A34" s="5" t="s">
        <v>11</v>
      </c>
      <c r="B34" s="7">
        <v>10000</v>
      </c>
      <c r="C34" s="2" t="s">
        <v>305</v>
      </c>
      <c r="D34" s="2" t="s">
        <v>306</v>
      </c>
      <c r="E34" s="2" t="s">
        <v>307</v>
      </c>
      <c r="F34" s="2" t="s">
        <v>308</v>
      </c>
    </row>
    <row r="35" spans="1:6" ht="15.75" x14ac:dyDescent="0.25">
      <c r="A35" s="5"/>
      <c r="B35" s="7">
        <v>30000</v>
      </c>
      <c r="C35" s="2" t="s">
        <v>309</v>
      </c>
      <c r="D35" s="2" t="s">
        <v>310</v>
      </c>
      <c r="E35" s="2" t="s">
        <v>311</v>
      </c>
      <c r="F35" s="2" t="s">
        <v>312</v>
      </c>
    </row>
    <row r="36" spans="1:6" ht="15.75" x14ac:dyDescent="0.25">
      <c r="A36" s="5"/>
      <c r="B36" s="7">
        <v>50000</v>
      </c>
      <c r="C36" s="2" t="s">
        <v>313</v>
      </c>
      <c r="D36" s="2" t="s">
        <v>314</v>
      </c>
      <c r="E36" s="2" t="s">
        <v>315</v>
      </c>
      <c r="F36" s="2" t="s">
        <v>316</v>
      </c>
    </row>
    <row r="37" spans="1:6" ht="15.75" x14ac:dyDescent="0.25">
      <c r="A37" s="5"/>
      <c r="B37" s="7">
        <v>80000</v>
      </c>
      <c r="C37" s="2" t="s">
        <v>317</v>
      </c>
      <c r="D37" s="2" t="s">
        <v>318</v>
      </c>
      <c r="E37" s="2" t="s">
        <v>319</v>
      </c>
      <c r="F37" s="2" t="s">
        <v>320</v>
      </c>
    </row>
    <row r="38" spans="1:6" ht="15.75" x14ac:dyDescent="0.25">
      <c r="A38" s="5"/>
      <c r="B38" s="7">
        <v>100000</v>
      </c>
      <c r="C38" s="2" t="s">
        <v>321</v>
      </c>
      <c r="D38" s="2" t="s">
        <v>322</v>
      </c>
      <c r="E38" s="2" t="s">
        <v>323</v>
      </c>
      <c r="F38" s="2" t="s">
        <v>324</v>
      </c>
    </row>
    <row r="40" spans="1:6" ht="15.75" x14ac:dyDescent="0.25">
      <c r="A40" s="5" t="s">
        <v>12</v>
      </c>
      <c r="B40" s="7">
        <v>10000</v>
      </c>
      <c r="C40" s="2" t="s">
        <v>325</v>
      </c>
      <c r="D40" s="2" t="s">
        <v>326</v>
      </c>
      <c r="E40" s="2" t="s">
        <v>327</v>
      </c>
      <c r="F40" s="2" t="s">
        <v>328</v>
      </c>
    </row>
    <row r="41" spans="1:6" ht="15.75" x14ac:dyDescent="0.25">
      <c r="A41" s="5"/>
      <c r="B41" s="7">
        <v>30000</v>
      </c>
      <c r="C41" s="2" t="s">
        <v>329</v>
      </c>
      <c r="D41" s="2" t="s">
        <v>330</v>
      </c>
      <c r="E41" s="2" t="s">
        <v>331</v>
      </c>
      <c r="F41" s="2" t="s">
        <v>332</v>
      </c>
    </row>
    <row r="42" spans="1:6" ht="15.75" x14ac:dyDescent="0.25">
      <c r="A42" s="5"/>
      <c r="B42" s="7">
        <v>50000</v>
      </c>
      <c r="C42" s="2" t="s">
        <v>333</v>
      </c>
      <c r="D42" s="2" t="s">
        <v>334</v>
      </c>
      <c r="E42" s="2" t="s">
        <v>335</v>
      </c>
      <c r="F42" s="2" t="s">
        <v>336</v>
      </c>
    </row>
    <row r="43" spans="1:6" ht="15.75" x14ac:dyDescent="0.25">
      <c r="A43" s="5"/>
      <c r="B43" s="7">
        <v>80000</v>
      </c>
      <c r="C43" s="2" t="s">
        <v>337</v>
      </c>
      <c r="D43" s="2" t="s">
        <v>338</v>
      </c>
      <c r="E43" s="2" t="s">
        <v>339</v>
      </c>
      <c r="F43" s="2" t="s">
        <v>340</v>
      </c>
    </row>
    <row r="44" spans="1:6" ht="15.75" x14ac:dyDescent="0.25">
      <c r="A44" s="5"/>
      <c r="B44" s="7">
        <v>100000</v>
      </c>
      <c r="C44" s="2" t="s">
        <v>341</v>
      </c>
      <c r="D44" s="2" t="s">
        <v>342</v>
      </c>
      <c r="E44" s="2" t="s">
        <v>343</v>
      </c>
      <c r="F44" s="2" t="s">
        <v>344</v>
      </c>
    </row>
    <row r="46" spans="1:6" ht="15.75" x14ac:dyDescent="0.25">
      <c r="A46" s="5" t="s">
        <v>14</v>
      </c>
      <c r="B46" s="7">
        <v>10000</v>
      </c>
      <c r="C46" s="2" t="s">
        <v>345</v>
      </c>
      <c r="D46" s="2" t="s">
        <v>346</v>
      </c>
      <c r="E46" s="2" t="s">
        <v>347</v>
      </c>
      <c r="F46" s="2" t="s">
        <v>348</v>
      </c>
    </row>
    <row r="47" spans="1:6" ht="15.75" x14ac:dyDescent="0.25">
      <c r="A47" s="5"/>
      <c r="B47" s="7">
        <v>30000</v>
      </c>
      <c r="C47" s="2" t="s">
        <v>349</v>
      </c>
      <c r="D47" s="2" t="s">
        <v>350</v>
      </c>
      <c r="E47" s="2" t="s">
        <v>351</v>
      </c>
      <c r="F47" s="2" t="s">
        <v>352</v>
      </c>
    </row>
    <row r="48" spans="1:6" ht="15.75" x14ac:dyDescent="0.25">
      <c r="A48" s="5"/>
      <c r="B48" s="7">
        <v>50000</v>
      </c>
      <c r="C48" s="2" t="s">
        <v>353</v>
      </c>
      <c r="D48" s="2" t="s">
        <v>354</v>
      </c>
      <c r="E48" s="2" t="s">
        <v>355</v>
      </c>
      <c r="F48" s="2" t="s">
        <v>356</v>
      </c>
    </row>
    <row r="49" spans="1:6" ht="15.75" x14ac:dyDescent="0.25">
      <c r="A49" s="5"/>
      <c r="B49" s="7">
        <v>80000</v>
      </c>
      <c r="C49" s="2" t="s">
        <v>357</v>
      </c>
      <c r="D49" s="2" t="s">
        <v>358</v>
      </c>
      <c r="E49" s="2" t="s">
        <v>359</v>
      </c>
      <c r="F49" s="2" t="s">
        <v>360</v>
      </c>
    </row>
    <row r="50" spans="1:6" ht="15.75" x14ac:dyDescent="0.25">
      <c r="A50" s="5"/>
      <c r="B50" s="7">
        <v>100000</v>
      </c>
      <c r="C50" s="2" t="s">
        <v>361</v>
      </c>
      <c r="D50" s="2" t="s">
        <v>362</v>
      </c>
      <c r="E50" s="2" t="s">
        <v>363</v>
      </c>
      <c r="F50" s="2" t="s">
        <v>364</v>
      </c>
    </row>
    <row r="51" spans="1:6" ht="15.75" x14ac:dyDescent="0.25">
      <c r="C51" s="3"/>
      <c r="D51" s="3"/>
      <c r="E51" s="3"/>
      <c r="F51" s="3"/>
    </row>
    <row r="52" spans="1:6" ht="15.75" x14ac:dyDescent="0.25">
      <c r="A52" s="5" t="s">
        <v>15</v>
      </c>
      <c r="B52" s="7">
        <v>10000</v>
      </c>
      <c r="C52" s="2" t="s">
        <v>365</v>
      </c>
      <c r="D52" s="2" t="s">
        <v>191</v>
      </c>
      <c r="E52" s="2" t="s">
        <v>366</v>
      </c>
      <c r="F52" s="2" t="s">
        <v>367</v>
      </c>
    </row>
    <row r="53" spans="1:6" ht="15.75" x14ac:dyDescent="0.25">
      <c r="A53" s="5"/>
      <c r="B53" s="7">
        <v>30000</v>
      </c>
      <c r="C53" s="2" t="s">
        <v>368</v>
      </c>
      <c r="D53" s="2" t="s">
        <v>369</v>
      </c>
      <c r="E53" s="2" t="s">
        <v>370</v>
      </c>
      <c r="F53" s="2" t="s">
        <v>371</v>
      </c>
    </row>
    <row r="54" spans="1:6" ht="15.75" x14ac:dyDescent="0.25">
      <c r="A54" s="5"/>
      <c r="B54" s="7">
        <v>50000</v>
      </c>
      <c r="C54" s="2" t="s">
        <v>372</v>
      </c>
      <c r="D54" s="2" t="s">
        <v>373</v>
      </c>
      <c r="E54" s="2" t="s">
        <v>374</v>
      </c>
      <c r="F54" s="2" t="s">
        <v>375</v>
      </c>
    </row>
    <row r="55" spans="1:6" ht="15.75" x14ac:dyDescent="0.25">
      <c r="A55" s="5"/>
      <c r="B55" s="7">
        <v>80000</v>
      </c>
      <c r="C55" s="2" t="s">
        <v>376</v>
      </c>
      <c r="D55" s="2" t="s">
        <v>377</v>
      </c>
      <c r="E55" s="2" t="s">
        <v>378</v>
      </c>
      <c r="F55" s="2" t="s">
        <v>379</v>
      </c>
    </row>
    <row r="56" spans="1:6" ht="15.75" x14ac:dyDescent="0.25">
      <c r="A56" s="5"/>
      <c r="B56" s="7">
        <v>100000</v>
      </c>
      <c r="C56" s="2" t="s">
        <v>380</v>
      </c>
      <c r="D56" s="2" t="s">
        <v>381</v>
      </c>
      <c r="E56" s="2" t="s">
        <v>382</v>
      </c>
      <c r="F56" s="2" t="s">
        <v>383</v>
      </c>
    </row>
  </sheetData>
  <mergeCells count="9">
    <mergeCell ref="A40:A44"/>
    <mergeCell ref="A46:A50"/>
    <mergeCell ref="A52:A56"/>
    <mergeCell ref="A4:A8"/>
    <mergeCell ref="A10:A14"/>
    <mergeCell ref="A16:A20"/>
    <mergeCell ref="A22:A26"/>
    <mergeCell ref="A28:A32"/>
    <mergeCell ref="A34:A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9471-1976-42A6-9856-84A9480205F1}">
  <dimension ref="A1:AG47"/>
  <sheetViews>
    <sheetView tabSelected="1" topLeftCell="H1" workbookViewId="0">
      <selection activeCell="W4" sqref="W4"/>
    </sheetView>
  </sheetViews>
  <sheetFormatPr defaultRowHeight="15" x14ac:dyDescent="0.25"/>
  <cols>
    <col min="1" max="1" width="11.7109375" customWidth="1"/>
    <col min="2" max="2" width="11.28515625" customWidth="1"/>
    <col min="3" max="3" width="10.140625" customWidth="1"/>
    <col min="4" max="4" width="10.7109375" customWidth="1"/>
    <col min="8" max="8" width="12.42578125" customWidth="1"/>
    <col min="10" max="10" width="10.5703125" customWidth="1"/>
    <col min="12" max="12" width="6.140625" customWidth="1"/>
    <col min="13" max="13" width="11" customWidth="1"/>
    <col min="14" max="14" width="11.140625" customWidth="1"/>
    <col min="15" max="15" width="10" customWidth="1"/>
    <col min="16" max="16" width="10.28515625" customWidth="1"/>
    <col min="20" max="20" width="11.7109375" customWidth="1"/>
    <col min="22" max="22" width="13.42578125" customWidth="1"/>
    <col min="25" max="25" width="13.28515625" customWidth="1"/>
    <col min="30" max="30" width="11.7109375" customWidth="1"/>
  </cols>
  <sheetData>
    <row r="1" spans="1:33" x14ac:dyDescent="0.25">
      <c r="A1" s="4" t="s">
        <v>31</v>
      </c>
      <c r="B1" s="4"/>
      <c r="C1" s="4"/>
      <c r="D1" s="4"/>
      <c r="E1" s="4"/>
      <c r="F1" s="4"/>
      <c r="G1" s="4"/>
      <c r="H1" s="4"/>
      <c r="I1" s="4"/>
      <c r="J1" s="4"/>
      <c r="M1" s="4" t="s">
        <v>32</v>
      </c>
      <c r="N1" s="4"/>
      <c r="O1" s="4"/>
      <c r="P1" s="4"/>
      <c r="Q1" s="4"/>
      <c r="R1" s="4"/>
      <c r="S1" s="4"/>
      <c r="T1" s="4"/>
      <c r="U1" s="4"/>
      <c r="V1" s="4"/>
      <c r="Y1" s="4" t="s">
        <v>33</v>
      </c>
      <c r="Z1" s="4"/>
      <c r="AA1" s="4"/>
      <c r="AB1" s="4"/>
      <c r="AC1" s="4"/>
      <c r="AD1" s="4"/>
      <c r="AE1" s="4"/>
      <c r="AF1" s="4"/>
    </row>
    <row r="2" spans="1:33" x14ac:dyDescent="0.25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0"/>
      <c r="H2" s="10"/>
      <c r="I2" s="10"/>
      <c r="J2" s="10"/>
      <c r="M2" s="1" t="s">
        <v>0</v>
      </c>
      <c r="N2" s="1" t="s">
        <v>1</v>
      </c>
      <c r="O2" s="1" t="s">
        <v>2</v>
      </c>
      <c r="P2" s="1" t="s">
        <v>3</v>
      </c>
      <c r="Q2" s="1"/>
      <c r="R2" s="1"/>
      <c r="Y2" s="1" t="s">
        <v>0</v>
      </c>
      <c r="Z2" s="1" t="s">
        <v>1</v>
      </c>
      <c r="AA2" s="1" t="s">
        <v>2</v>
      </c>
      <c r="AB2" s="1" t="s">
        <v>3</v>
      </c>
    </row>
    <row r="3" spans="1:33" x14ac:dyDescent="0.25">
      <c r="A3" s="1">
        <v>7.1224780000000001E-2</v>
      </c>
      <c r="B3" s="1">
        <v>0.20158596000000001</v>
      </c>
      <c r="C3" s="1">
        <v>0.16273647999999999</v>
      </c>
      <c r="D3" s="1">
        <v>0.15585414</v>
      </c>
      <c r="E3" s="1"/>
      <c r="F3" s="12">
        <f>MIN(A3:D3)</f>
        <v>7.1224780000000001E-2</v>
      </c>
      <c r="I3" s="4" t="s">
        <v>27</v>
      </c>
      <c r="J3" s="4"/>
      <c r="K3" s="4"/>
      <c r="M3" s="1">
        <v>17.2</v>
      </c>
      <c r="N3" s="1">
        <v>63.8</v>
      </c>
      <c r="O3" s="1">
        <v>32.6</v>
      </c>
      <c r="P3" s="1">
        <v>33.6</v>
      </c>
      <c r="Q3" s="1"/>
      <c r="R3" s="12">
        <f>MIN(M3:P3)</f>
        <v>17.2</v>
      </c>
      <c r="U3" s="4" t="s">
        <v>27</v>
      </c>
      <c r="V3" s="4"/>
      <c r="W3" s="4"/>
      <c r="Y3" s="1">
        <v>63.6</v>
      </c>
      <c r="Z3" s="1">
        <v>197.2</v>
      </c>
      <c r="AA3" s="1">
        <v>163.4</v>
      </c>
      <c r="AB3" s="1">
        <v>133.19999999999999</v>
      </c>
      <c r="AE3" s="4" t="s">
        <v>27</v>
      </c>
      <c r="AF3" s="4"/>
      <c r="AG3" s="4"/>
    </row>
    <row r="4" spans="1:33" x14ac:dyDescent="0.25">
      <c r="A4" s="1">
        <v>0.22425445999999999</v>
      </c>
      <c r="B4" s="1">
        <v>0.63822475999999995</v>
      </c>
      <c r="C4" s="1">
        <v>0.54030228000000002</v>
      </c>
      <c r="D4" s="1">
        <v>0.44727232</v>
      </c>
      <c r="E4" s="1"/>
      <c r="F4" s="12">
        <f t="shared" ref="F4:F47" si="0">MIN(A4:D4)</f>
        <v>0.22425445999999999</v>
      </c>
      <c r="H4" t="s">
        <v>29</v>
      </c>
      <c r="I4" s="1" t="s">
        <v>28</v>
      </c>
      <c r="J4" s="10" t="s">
        <v>30</v>
      </c>
      <c r="K4" s="10"/>
      <c r="M4" s="1">
        <v>20.399999999999999</v>
      </c>
      <c r="N4" s="1">
        <v>65.599999999999994</v>
      </c>
      <c r="O4" s="1">
        <v>34.4</v>
      </c>
      <c r="P4" s="1">
        <v>35</v>
      </c>
      <c r="Q4" s="1"/>
      <c r="R4" s="12">
        <f t="shared" ref="R4:R47" si="1">MIN(M4:P4)</f>
        <v>20.399999999999999</v>
      </c>
      <c r="T4" s="1" t="s">
        <v>29</v>
      </c>
      <c r="U4" s="1" t="s">
        <v>28</v>
      </c>
      <c r="V4" s="1" t="s">
        <v>30</v>
      </c>
      <c r="Y4" s="1">
        <v>71</v>
      </c>
      <c r="Z4" s="1">
        <v>202.8</v>
      </c>
      <c r="AA4" s="1">
        <v>172.6</v>
      </c>
      <c r="AB4" s="1">
        <v>138.80000000000001</v>
      </c>
      <c r="AD4" s="1" t="s">
        <v>29</v>
      </c>
      <c r="AE4" s="1" t="s">
        <v>28</v>
      </c>
      <c r="AF4" s="1" t="s">
        <v>30</v>
      </c>
    </row>
    <row r="5" spans="1:33" x14ac:dyDescent="0.25">
      <c r="A5" s="1">
        <v>0.34041559999999998</v>
      </c>
      <c r="B5" s="1">
        <v>0.97520633999999995</v>
      </c>
      <c r="C5" s="1">
        <v>0.86853391999999996</v>
      </c>
      <c r="D5" s="1">
        <v>0.72167702</v>
      </c>
      <c r="E5" s="1"/>
      <c r="F5" s="12">
        <f t="shared" si="0"/>
        <v>0.34041559999999998</v>
      </c>
      <c r="H5" t="s">
        <v>0</v>
      </c>
      <c r="I5" s="1" cm="1">
        <f t="array" ref="I5">SUMPRODUCT(--(A3:A101 &lt; B3:B101), --(A3:A101 &lt; C3:C101), --(A3:A101 &lt; D3:D101))</f>
        <v>37</v>
      </c>
      <c r="J5" s="11">
        <v>0.82220000000000004</v>
      </c>
      <c r="M5" s="1">
        <v>19.600000000000001</v>
      </c>
      <c r="N5" s="1">
        <v>62.4</v>
      </c>
      <c r="O5" s="1">
        <v>35.200000000000003</v>
      </c>
      <c r="P5" s="1">
        <v>36</v>
      </c>
      <c r="Q5" s="1"/>
      <c r="R5" s="12">
        <f t="shared" si="1"/>
        <v>19.600000000000001</v>
      </c>
      <c r="T5" s="1" t="s">
        <v>0</v>
      </c>
      <c r="U5" s="1" cm="1">
        <f t="array" ref="U5">SUMPRODUCT(--(M3:M100 &lt; N3:N100), --(M3:M100 &lt; O3:O100), --(M3:M100 &lt; P3:P100))</f>
        <v>36</v>
      </c>
      <c r="V5" s="15">
        <v>0.8</v>
      </c>
      <c r="Y5" s="1">
        <v>68.2</v>
      </c>
      <c r="Z5" s="1">
        <v>197</v>
      </c>
      <c r="AA5" s="1">
        <v>177</v>
      </c>
      <c r="AB5" s="1">
        <v>143</v>
      </c>
      <c r="AD5" s="1" t="s">
        <v>0</v>
      </c>
      <c r="AE5" s="1" cm="1">
        <f t="array" ref="AE5">SUMPRODUCT(--(Y3:Y100 &lt; Z3:Z100), --(Y3:Y100 &lt; AA3:AA100), --(Y3:Y100 &lt; AB3:AB100))</f>
        <v>38</v>
      </c>
      <c r="AF5" s="1">
        <v>84.44</v>
      </c>
    </row>
    <row r="6" spans="1:33" x14ac:dyDescent="0.25">
      <c r="A6" s="1">
        <v>0.55745778000000001</v>
      </c>
      <c r="B6" s="1">
        <v>1.5837902800000001</v>
      </c>
      <c r="C6" s="1">
        <v>1.41474656</v>
      </c>
      <c r="D6" s="1">
        <v>0.90990578</v>
      </c>
      <c r="E6" s="1"/>
      <c r="F6" s="12">
        <f t="shared" si="0"/>
        <v>0.55745778000000001</v>
      </c>
      <c r="H6" t="s">
        <v>1</v>
      </c>
      <c r="I6" s="1" cm="1">
        <f t="array" ref="I6">SUMPRODUCT(--(B3:B101 &lt; A3:A101), --(B3:B101 &lt; C3:C101), --(B3:B101 &lt; D3:D101))</f>
        <v>0</v>
      </c>
      <c r="J6" s="1">
        <v>0</v>
      </c>
      <c r="M6" s="1">
        <v>22</v>
      </c>
      <c r="N6" s="1">
        <v>66</v>
      </c>
      <c r="O6" s="1">
        <v>36.799999999999997</v>
      </c>
      <c r="P6" s="1">
        <v>29.4</v>
      </c>
      <c r="Q6" s="1"/>
      <c r="R6" s="12">
        <f t="shared" si="1"/>
        <v>22</v>
      </c>
      <c r="T6" s="1" t="s">
        <v>1</v>
      </c>
      <c r="U6" s="1" cm="1">
        <f t="array" ref="U6">SUMPRODUCT(--(N3:N100 &lt; M3:M100), --(N3:N100 &lt; O3:O100), --(N3:N100 &lt; P3:P100))</f>
        <v>0</v>
      </c>
      <c r="V6" s="1">
        <v>0</v>
      </c>
      <c r="Y6" s="1">
        <v>72.400000000000006</v>
      </c>
      <c r="Z6" s="1">
        <v>206.8</v>
      </c>
      <c r="AA6" s="1">
        <v>186</v>
      </c>
      <c r="AB6" s="1">
        <v>117.4</v>
      </c>
      <c r="AD6" s="1" t="s">
        <v>1</v>
      </c>
      <c r="AE6" s="1" cm="1">
        <f t="array" ref="AE6">SUMPRODUCT(--(Z3:Z100 &lt; Y3:Y100), --(Z3:Z100 &lt; AA3:AA100), --(Z3:Z100 &lt; AB3:AB100))</f>
        <v>0</v>
      </c>
      <c r="AF6" s="1">
        <v>0</v>
      </c>
    </row>
    <row r="7" spans="1:33" x14ac:dyDescent="0.25">
      <c r="A7" s="1">
        <v>0.70340532</v>
      </c>
      <c r="B7" s="1">
        <v>1.98229236</v>
      </c>
      <c r="C7" s="1">
        <v>1.7540049200000001</v>
      </c>
      <c r="D7" s="1">
        <v>1.1723981999999999</v>
      </c>
      <c r="E7" s="1"/>
      <c r="F7" s="12">
        <f t="shared" si="0"/>
        <v>0.70340532</v>
      </c>
      <c r="H7" t="s">
        <v>2</v>
      </c>
      <c r="I7" s="1" cm="1">
        <f t="array" ref="I7">SUMPRODUCT(--(C3:C101 &lt; A3:A101), --(C3:C101 &lt; B3:B101), --(C3:C101 &lt; D3:D101))</f>
        <v>1</v>
      </c>
      <c r="J7" s="11">
        <v>2.2200000000000001E-2</v>
      </c>
      <c r="M7" s="1">
        <v>20.8</v>
      </c>
      <c r="N7" s="1">
        <v>67.599999999999994</v>
      </c>
      <c r="O7" s="1">
        <v>37</v>
      </c>
      <c r="P7" s="1">
        <v>30.8</v>
      </c>
      <c r="Q7" s="1"/>
      <c r="R7" s="12">
        <f t="shared" si="1"/>
        <v>20.8</v>
      </c>
      <c r="T7" s="1" t="s">
        <v>2</v>
      </c>
      <c r="U7" s="1" cm="1">
        <f t="array" ref="U7">SUMPRODUCT(--(O3:O100 &lt; M3:M100), --(O3:O100 &lt; N3:N100), --(O3:O100 &lt; P3:P100))</f>
        <v>1</v>
      </c>
      <c r="V7" s="11">
        <v>2.2200000000000001E-2</v>
      </c>
      <c r="Y7" s="1">
        <v>74.2</v>
      </c>
      <c r="Z7" s="1">
        <v>210.2</v>
      </c>
      <c r="AA7" s="1">
        <v>187</v>
      </c>
      <c r="AB7" s="1">
        <v>122.8</v>
      </c>
      <c r="AD7" s="1" t="s">
        <v>2</v>
      </c>
      <c r="AE7" s="1" cm="1">
        <f t="array" ref="AE7">SUMPRODUCT(--(AA3:AA100 &lt; Y3:Y100), --(AA3:AA100 &lt; Z3:Z100), --(AA3:AA100 &lt; AB3:AB100))</f>
        <v>0</v>
      </c>
      <c r="AF7" s="1">
        <v>0</v>
      </c>
    </row>
    <row r="8" spans="1:33" x14ac:dyDescent="0.25">
      <c r="A8" s="1">
        <v>5.9774800000000003E-3</v>
      </c>
      <c r="B8" s="1">
        <v>1.295932E-2</v>
      </c>
      <c r="C8" s="1">
        <v>7.69406E-3</v>
      </c>
      <c r="D8" s="1">
        <v>1.290414E-2</v>
      </c>
      <c r="E8" s="1"/>
      <c r="F8" s="12">
        <f t="shared" si="0"/>
        <v>5.9774800000000003E-3</v>
      </c>
      <c r="H8" t="s">
        <v>3</v>
      </c>
      <c r="I8" s="1" cm="1">
        <f t="array" ref="I8">SUMPRODUCT(--(D3:D101 &lt; A3:A101), --(D3:D101 &lt; B3:B101), --(D3:D101 &lt; C3:C101))</f>
        <v>7</v>
      </c>
      <c r="J8" s="11">
        <v>0.1555</v>
      </c>
      <c r="M8" s="1">
        <v>14</v>
      </c>
      <c r="N8" s="1">
        <v>51.2</v>
      </c>
      <c r="O8" s="1">
        <v>28.8</v>
      </c>
      <c r="P8" s="1">
        <v>38</v>
      </c>
      <c r="Q8" s="1"/>
      <c r="R8" s="12">
        <f t="shared" si="1"/>
        <v>14</v>
      </c>
      <c r="T8" s="1" t="s">
        <v>3</v>
      </c>
      <c r="U8" s="1" cm="1">
        <f t="array" ref="U8">SUMPRODUCT(--(P3:P100 &lt; M3:M100), --(P3:P100 &lt; N3:N100), --(P3:P100 &lt; O3:O100))</f>
        <v>8</v>
      </c>
      <c r="V8" s="11">
        <v>0.17780000000000001</v>
      </c>
      <c r="Y8" s="1">
        <v>53.8</v>
      </c>
      <c r="Z8" s="1">
        <v>198</v>
      </c>
      <c r="AA8" s="1">
        <v>130</v>
      </c>
      <c r="AB8" s="1">
        <v>148.6</v>
      </c>
      <c r="AD8" s="1" t="s">
        <v>3</v>
      </c>
      <c r="AE8" s="1" cm="1">
        <f t="array" ref="AE8">SUMPRODUCT(--(AB3:AB100 &lt; Y3:Y100), --(AB3:AB100 &lt; Z3:Z100), --(AB3:AB100 &lt; AA3:AA100))</f>
        <v>7</v>
      </c>
      <c r="AF8" s="1">
        <v>15.55</v>
      </c>
    </row>
    <row r="9" spans="1:33" x14ac:dyDescent="0.25">
      <c r="A9" s="1">
        <v>7.6703400000000003E-3</v>
      </c>
      <c r="B9" s="1">
        <v>2.4503E-2</v>
      </c>
      <c r="C9" s="1">
        <v>1.292192E-2</v>
      </c>
      <c r="D9" s="1">
        <v>2.2298040000000002E-2</v>
      </c>
      <c r="E9" s="1"/>
      <c r="F9" s="12">
        <f t="shared" si="0"/>
        <v>7.6703400000000003E-3</v>
      </c>
      <c r="M9" s="1">
        <v>14.6</v>
      </c>
      <c r="N9" s="1">
        <v>52.8</v>
      </c>
      <c r="O9" s="1">
        <v>25</v>
      </c>
      <c r="P9" s="1">
        <v>35.200000000000003</v>
      </c>
      <c r="Q9" s="1"/>
      <c r="R9" s="12">
        <f t="shared" si="1"/>
        <v>14.6</v>
      </c>
      <c r="Y9" s="1">
        <v>55</v>
      </c>
      <c r="Z9" s="1">
        <v>203.2</v>
      </c>
      <c r="AA9" s="1">
        <v>120</v>
      </c>
      <c r="AB9" s="1">
        <v>138.4</v>
      </c>
    </row>
    <row r="10" spans="1:33" x14ac:dyDescent="0.25">
      <c r="A10" s="1">
        <v>9.41262E-3</v>
      </c>
      <c r="B10" s="1">
        <v>3.4123239999999999E-2</v>
      </c>
      <c r="C10" s="1">
        <v>1.8497639999999999E-2</v>
      </c>
      <c r="D10" s="1">
        <v>1.586226E-2</v>
      </c>
      <c r="E10" s="1"/>
      <c r="F10" s="12">
        <f t="shared" si="0"/>
        <v>9.41262E-3</v>
      </c>
      <c r="M10" s="1">
        <v>13.4</v>
      </c>
      <c r="N10" s="1">
        <v>56.4</v>
      </c>
      <c r="O10" s="1">
        <v>27.4</v>
      </c>
      <c r="P10" s="1">
        <v>21.8</v>
      </c>
      <c r="Q10" s="1"/>
      <c r="R10" s="12">
        <f t="shared" si="1"/>
        <v>13.4</v>
      </c>
      <c r="Y10" s="1">
        <v>55</v>
      </c>
      <c r="Z10" s="1">
        <v>218.6</v>
      </c>
      <c r="AA10" s="1">
        <v>132.80000000000001</v>
      </c>
      <c r="AB10" s="1">
        <v>77.400000000000006</v>
      </c>
    </row>
    <row r="11" spans="1:33" x14ac:dyDescent="0.25">
      <c r="A11" s="1">
        <v>1.389134E-2</v>
      </c>
      <c r="B11" s="1">
        <v>4.4467300000000001E-2</v>
      </c>
      <c r="C11" s="1">
        <v>3.4459160000000003E-2</v>
      </c>
      <c r="D11" s="1">
        <v>2.2777059999999998E-2</v>
      </c>
      <c r="E11" s="1"/>
      <c r="F11" s="12">
        <f t="shared" si="0"/>
        <v>1.389134E-2</v>
      </c>
      <c r="M11" s="1">
        <v>15.6</v>
      </c>
      <c r="N11" s="1">
        <v>52.8</v>
      </c>
      <c r="O11" s="1">
        <v>36.6</v>
      </c>
      <c r="P11" s="1">
        <v>23</v>
      </c>
      <c r="Q11" s="1"/>
      <c r="R11" s="12">
        <f t="shared" si="1"/>
        <v>15.6</v>
      </c>
      <c r="Y11" s="1">
        <v>59.4</v>
      </c>
      <c r="Z11" s="1">
        <v>202.8</v>
      </c>
      <c r="AA11" s="1">
        <v>182</v>
      </c>
      <c r="AB11" s="1">
        <v>82.2</v>
      </c>
    </row>
    <row r="12" spans="1:33" x14ac:dyDescent="0.25">
      <c r="A12" s="1">
        <v>1.5368120000000001E-2</v>
      </c>
      <c r="B12" s="1">
        <v>5.612226E-2</v>
      </c>
      <c r="C12" s="1">
        <v>4.0049359999999999E-2</v>
      </c>
      <c r="D12" s="1">
        <v>2.554006E-2</v>
      </c>
      <c r="E12" s="1"/>
      <c r="F12" s="12">
        <f t="shared" si="0"/>
        <v>1.5368120000000001E-2</v>
      </c>
      <c r="M12" s="1">
        <v>15.4</v>
      </c>
      <c r="N12" s="1">
        <v>57</v>
      </c>
      <c r="O12" s="1">
        <v>36.799999999999997</v>
      </c>
      <c r="P12" s="1">
        <v>22.6</v>
      </c>
      <c r="Q12" s="1"/>
      <c r="R12" s="12">
        <f t="shared" si="1"/>
        <v>15.4</v>
      </c>
      <c r="Y12" s="1">
        <v>53.6</v>
      </c>
      <c r="Z12" s="1">
        <v>221.4</v>
      </c>
      <c r="AA12" s="1">
        <v>183</v>
      </c>
      <c r="AB12" s="1">
        <v>79.2</v>
      </c>
    </row>
    <row r="13" spans="1:33" x14ac:dyDescent="0.25">
      <c r="A13" s="1">
        <v>2.7966899999999999E-2</v>
      </c>
      <c r="B13" s="1">
        <v>7.1442839999999994E-2</v>
      </c>
      <c r="C13" s="1">
        <v>3.5513860000000001E-2</v>
      </c>
      <c r="D13" s="1">
        <v>9.1174920000000007E-2</v>
      </c>
      <c r="E13" s="1"/>
      <c r="F13" s="12">
        <f t="shared" si="0"/>
        <v>2.7966899999999999E-2</v>
      </c>
      <c r="M13" s="1">
        <v>28</v>
      </c>
      <c r="N13" s="1">
        <v>82.2</v>
      </c>
      <c r="O13" s="1">
        <v>26</v>
      </c>
      <c r="P13" s="1">
        <v>65</v>
      </c>
      <c r="Q13" s="1"/>
      <c r="R13" s="12">
        <f t="shared" si="1"/>
        <v>26</v>
      </c>
      <c r="Y13" s="1">
        <v>99.2</v>
      </c>
      <c r="Z13" s="1">
        <v>274.8</v>
      </c>
      <c r="AA13" s="1">
        <v>130.80000000000001</v>
      </c>
      <c r="AB13" s="1">
        <v>259.2</v>
      </c>
    </row>
    <row r="14" spans="1:33" x14ac:dyDescent="0.25">
      <c r="A14" s="1">
        <v>0.10765946</v>
      </c>
      <c r="B14" s="1">
        <v>0.28529892000000001</v>
      </c>
      <c r="C14" s="1">
        <v>0.19539268000000001</v>
      </c>
      <c r="D14" s="1">
        <v>0.25209525999999999</v>
      </c>
      <c r="E14" s="1"/>
      <c r="F14" s="12">
        <f t="shared" si="0"/>
        <v>0.10765946</v>
      </c>
      <c r="M14" s="1">
        <v>30.8</v>
      </c>
      <c r="N14" s="1">
        <v>87.8</v>
      </c>
      <c r="O14" s="1">
        <v>40.799999999999997</v>
      </c>
      <c r="P14" s="1">
        <v>63</v>
      </c>
      <c r="Q14" s="1"/>
      <c r="R14" s="12">
        <f t="shared" si="1"/>
        <v>30.8</v>
      </c>
      <c r="Y14" s="1">
        <v>108.2</v>
      </c>
      <c r="Z14" s="1">
        <v>293</v>
      </c>
      <c r="AA14" s="1">
        <v>206</v>
      </c>
      <c r="AB14" s="1">
        <v>249.6</v>
      </c>
    </row>
    <row r="15" spans="1:33" x14ac:dyDescent="0.25">
      <c r="A15" s="1">
        <v>0.16673488</v>
      </c>
      <c r="B15" s="1">
        <v>0.44540560000000001</v>
      </c>
      <c r="C15" s="1">
        <v>0.30339272</v>
      </c>
      <c r="D15" s="1">
        <v>0.41136827999999998</v>
      </c>
      <c r="E15" s="1"/>
      <c r="F15" s="12">
        <f t="shared" si="0"/>
        <v>0.16673488</v>
      </c>
      <c r="L15" s="9"/>
      <c r="M15" s="1">
        <v>29</v>
      </c>
      <c r="N15" s="1">
        <v>82.8</v>
      </c>
      <c r="O15" s="1">
        <v>37.200000000000003</v>
      </c>
      <c r="P15" s="1">
        <v>62</v>
      </c>
      <c r="Q15" s="1"/>
      <c r="R15" s="12">
        <f t="shared" si="1"/>
        <v>29</v>
      </c>
      <c r="Y15" s="1">
        <v>101</v>
      </c>
      <c r="Z15" s="1">
        <v>272.39999999999998</v>
      </c>
      <c r="AA15" s="1">
        <v>187.2</v>
      </c>
      <c r="AB15" s="1">
        <v>245.2</v>
      </c>
    </row>
    <row r="16" spans="1:33" x14ac:dyDescent="0.25">
      <c r="A16" s="1">
        <v>0.28086285999999999</v>
      </c>
      <c r="B16" s="1">
        <v>0.68513964000000005</v>
      </c>
      <c r="C16" s="1">
        <v>0.49172635999999997</v>
      </c>
      <c r="D16" s="1">
        <v>0.69910945999999996</v>
      </c>
      <c r="E16" s="1"/>
      <c r="F16" s="12">
        <f t="shared" si="0"/>
        <v>0.28086285999999999</v>
      </c>
      <c r="M16" s="1">
        <v>32.6</v>
      </c>
      <c r="N16" s="1">
        <v>85.8</v>
      </c>
      <c r="O16" s="1">
        <v>41.8</v>
      </c>
      <c r="P16" s="1">
        <v>70.2</v>
      </c>
      <c r="Q16" s="1"/>
      <c r="R16" s="12">
        <f t="shared" si="1"/>
        <v>32.6</v>
      </c>
      <c r="Y16" s="1">
        <v>114.6</v>
      </c>
      <c r="Z16" s="1">
        <v>282.39999999999998</v>
      </c>
      <c r="AA16" s="1">
        <v>208.2</v>
      </c>
      <c r="AB16" s="1">
        <v>278.60000000000002</v>
      </c>
    </row>
    <row r="17" spans="1:28" x14ac:dyDescent="0.25">
      <c r="A17" s="1">
        <v>0.35408978000000002</v>
      </c>
      <c r="B17" s="1">
        <v>0.85516519999999996</v>
      </c>
      <c r="C17" s="1">
        <v>0.61986841999999998</v>
      </c>
      <c r="D17" s="1">
        <v>0.81920910000000002</v>
      </c>
      <c r="E17" s="1"/>
      <c r="F17" s="12">
        <f t="shared" si="0"/>
        <v>0.35408978000000002</v>
      </c>
      <c r="M17" s="1">
        <v>32.200000000000003</v>
      </c>
      <c r="N17" s="1">
        <v>88.4</v>
      </c>
      <c r="O17" s="1">
        <v>43</v>
      </c>
      <c r="P17" s="1">
        <v>68</v>
      </c>
      <c r="Q17" s="1"/>
      <c r="R17" s="12">
        <f t="shared" si="1"/>
        <v>32.200000000000003</v>
      </c>
      <c r="Y17" s="1">
        <v>116.8</v>
      </c>
      <c r="Z17" s="1">
        <v>293</v>
      </c>
      <c r="AA17" s="1">
        <v>215.2</v>
      </c>
      <c r="AB17" s="1">
        <v>270</v>
      </c>
    </row>
    <row r="18" spans="1:28" x14ac:dyDescent="0.25">
      <c r="A18" s="1">
        <v>2.068876E-2</v>
      </c>
      <c r="B18" s="1">
        <v>4.9387920000000002E-2</v>
      </c>
      <c r="C18" s="1">
        <v>4.6001840000000002E-2</v>
      </c>
      <c r="D18" s="1">
        <v>4.020696E-2</v>
      </c>
      <c r="E18" s="1"/>
      <c r="F18" s="12">
        <f t="shared" si="0"/>
        <v>2.068876E-2</v>
      </c>
      <c r="M18" s="1">
        <v>25.6</v>
      </c>
      <c r="N18" s="1">
        <v>70.400000000000006</v>
      </c>
      <c r="O18" s="1">
        <v>39.4</v>
      </c>
      <c r="P18" s="1">
        <v>34.799999999999997</v>
      </c>
      <c r="Q18" s="1"/>
      <c r="R18" s="12">
        <f t="shared" si="1"/>
        <v>25.6</v>
      </c>
      <c r="Y18" s="1">
        <v>83.8</v>
      </c>
      <c r="Z18" s="1">
        <v>226</v>
      </c>
      <c r="AA18" s="1">
        <v>197</v>
      </c>
      <c r="AB18" s="1">
        <v>137.19999999999999</v>
      </c>
    </row>
    <row r="19" spans="1:28" x14ac:dyDescent="0.25">
      <c r="A19" s="1">
        <v>0.16590189999999999</v>
      </c>
      <c r="B19" s="1">
        <v>0.21854435999999999</v>
      </c>
      <c r="C19" s="1">
        <v>0.16324375999999999</v>
      </c>
      <c r="D19" s="1">
        <v>0.1092905</v>
      </c>
      <c r="E19" s="1"/>
      <c r="F19" s="13">
        <f t="shared" si="0"/>
        <v>0.1092905</v>
      </c>
      <c r="M19" s="1">
        <v>59</v>
      </c>
      <c r="N19" s="1">
        <v>83.4</v>
      </c>
      <c r="O19" s="1">
        <v>41.6</v>
      </c>
      <c r="P19" s="1">
        <v>33</v>
      </c>
      <c r="Q19" s="1"/>
      <c r="R19" s="1">
        <f t="shared" si="1"/>
        <v>33</v>
      </c>
      <c r="Y19" s="1">
        <v>184.6</v>
      </c>
      <c r="Z19" s="1">
        <v>265.60000000000002</v>
      </c>
      <c r="AA19" s="1">
        <v>208</v>
      </c>
      <c r="AB19" s="1">
        <v>130.6</v>
      </c>
    </row>
    <row r="20" spans="1:28" x14ac:dyDescent="0.25">
      <c r="A20" s="1">
        <v>0.1117498</v>
      </c>
      <c r="B20" s="1">
        <v>0.30399490000000001</v>
      </c>
      <c r="C20" s="1">
        <v>0.24431504000000001</v>
      </c>
      <c r="D20" s="1">
        <v>0.16434482</v>
      </c>
      <c r="E20" s="1"/>
      <c r="F20" s="12">
        <f t="shared" si="0"/>
        <v>0.1117498</v>
      </c>
      <c r="M20" s="1">
        <v>24.8</v>
      </c>
      <c r="N20" s="1">
        <v>69.599999999999994</v>
      </c>
      <c r="O20" s="1">
        <v>38</v>
      </c>
      <c r="P20" s="1">
        <v>32.799999999999997</v>
      </c>
      <c r="Q20" s="1"/>
      <c r="R20" s="12">
        <f t="shared" si="1"/>
        <v>24.8</v>
      </c>
      <c r="Y20" s="1">
        <v>81.2</v>
      </c>
      <c r="Z20" s="1">
        <v>223.6</v>
      </c>
      <c r="AA20" s="1">
        <v>192</v>
      </c>
      <c r="AB20" s="1">
        <v>128.6</v>
      </c>
    </row>
    <row r="21" spans="1:28" x14ac:dyDescent="0.25">
      <c r="A21" s="1">
        <v>0.19760143999999999</v>
      </c>
      <c r="B21" s="1">
        <v>0.46739836000000001</v>
      </c>
      <c r="C21" s="1">
        <v>0.34428231999999998</v>
      </c>
      <c r="D21" s="1">
        <v>0.29242351999999999</v>
      </c>
      <c r="E21" s="1"/>
      <c r="F21" s="12">
        <f t="shared" si="0"/>
        <v>0.19760143999999999</v>
      </c>
      <c r="M21" s="1">
        <v>29.4</v>
      </c>
      <c r="N21" s="1">
        <v>70</v>
      </c>
      <c r="O21" s="1">
        <v>35.6</v>
      </c>
      <c r="P21" s="1">
        <v>36.4</v>
      </c>
      <c r="Q21" s="1"/>
      <c r="R21" s="12">
        <f t="shared" si="1"/>
        <v>29.4</v>
      </c>
      <c r="Y21" s="1">
        <v>98.2</v>
      </c>
      <c r="Z21" s="1">
        <v>224.2</v>
      </c>
      <c r="AA21" s="1">
        <v>180</v>
      </c>
      <c r="AB21" s="1">
        <v>143.80000000000001</v>
      </c>
    </row>
    <row r="22" spans="1:28" x14ac:dyDescent="0.25">
      <c r="A22" s="1">
        <v>0.211201</v>
      </c>
      <c r="B22" s="1">
        <v>0.57034578000000002</v>
      </c>
      <c r="C22" s="1">
        <v>0.41722505999999998</v>
      </c>
      <c r="D22" s="1">
        <v>0.36158620000000002</v>
      </c>
      <c r="E22" s="1"/>
      <c r="F22" s="12">
        <f t="shared" si="0"/>
        <v>0.211201</v>
      </c>
      <c r="M22" s="1">
        <v>26.8</v>
      </c>
      <c r="N22" s="1">
        <v>73</v>
      </c>
      <c r="O22" s="1">
        <v>36.6</v>
      </c>
      <c r="P22" s="1">
        <v>37.6</v>
      </c>
      <c r="Q22" s="1"/>
      <c r="R22" s="12">
        <f t="shared" si="1"/>
        <v>26.8</v>
      </c>
      <c r="Y22" s="1">
        <v>89.4</v>
      </c>
      <c r="Z22" s="1">
        <v>234.8</v>
      </c>
      <c r="AA22" s="1">
        <v>185</v>
      </c>
      <c r="AB22" s="1">
        <v>148.19999999999999</v>
      </c>
    </row>
    <row r="23" spans="1:28" x14ac:dyDescent="0.25">
      <c r="A23" s="1">
        <v>1.1453140000000001E-2</v>
      </c>
      <c r="B23" s="1">
        <v>2.453294E-2</v>
      </c>
      <c r="C23" s="1">
        <v>2.2162879999999999E-2</v>
      </c>
      <c r="D23" s="1">
        <v>1.6276780000000001E-2</v>
      </c>
      <c r="E23" s="1"/>
      <c r="F23" s="12">
        <f t="shared" si="0"/>
        <v>1.1453140000000001E-2</v>
      </c>
      <c r="M23" s="1">
        <v>16.600000000000001</v>
      </c>
      <c r="N23" s="1">
        <v>57.2</v>
      </c>
      <c r="O23" s="1">
        <v>31.6</v>
      </c>
      <c r="P23" s="1">
        <v>22.2</v>
      </c>
      <c r="Q23" s="1"/>
      <c r="R23" s="12">
        <f t="shared" si="1"/>
        <v>16.600000000000001</v>
      </c>
      <c r="Y23" s="1">
        <v>57.2</v>
      </c>
      <c r="Z23" s="1">
        <v>179</v>
      </c>
      <c r="AA23" s="1">
        <v>157.4</v>
      </c>
      <c r="AB23" s="1">
        <v>86.2</v>
      </c>
    </row>
    <row r="24" spans="1:28" x14ac:dyDescent="0.25">
      <c r="A24" s="1">
        <v>2.9914420000000001E-2</v>
      </c>
      <c r="B24" s="1">
        <v>9.0504699999999993E-2</v>
      </c>
      <c r="C24" s="1">
        <v>7.4072040000000006E-2</v>
      </c>
      <c r="D24" s="1">
        <v>4.5736359999999997E-2</v>
      </c>
      <c r="E24" s="1"/>
      <c r="F24" s="12">
        <f t="shared" si="0"/>
        <v>2.9914420000000001E-2</v>
      </c>
      <c r="M24" s="1">
        <v>15.6</v>
      </c>
      <c r="N24" s="1">
        <v>59</v>
      </c>
      <c r="O24" s="1">
        <v>33.200000000000003</v>
      </c>
      <c r="P24" s="1">
        <v>22.4</v>
      </c>
      <c r="Q24" s="1"/>
      <c r="R24" s="12">
        <f t="shared" si="1"/>
        <v>15.6</v>
      </c>
      <c r="Y24" s="1">
        <v>57.6</v>
      </c>
      <c r="Z24" s="1">
        <v>184</v>
      </c>
      <c r="AA24" s="1">
        <v>165.4</v>
      </c>
      <c r="AB24" s="1">
        <v>87.8</v>
      </c>
    </row>
    <row r="25" spans="1:28" x14ac:dyDescent="0.25">
      <c r="A25" s="1">
        <v>5.3758739999999999E-2</v>
      </c>
      <c r="B25" s="1">
        <v>0.14710102</v>
      </c>
      <c r="C25" s="1">
        <v>0.11965068</v>
      </c>
      <c r="D25" s="1">
        <v>7.44229E-2</v>
      </c>
      <c r="E25" s="1"/>
      <c r="F25" s="12">
        <f t="shared" si="0"/>
        <v>5.3758739999999999E-2</v>
      </c>
      <c r="M25" s="1">
        <v>19.399999999999999</v>
      </c>
      <c r="N25" s="1">
        <v>59.4</v>
      </c>
      <c r="O25" s="1">
        <v>33.200000000000003</v>
      </c>
      <c r="P25" s="1">
        <v>23.6</v>
      </c>
      <c r="Q25" s="1"/>
      <c r="R25" s="12">
        <f t="shared" si="1"/>
        <v>19.399999999999999</v>
      </c>
      <c r="Y25" s="1">
        <v>65.8</v>
      </c>
      <c r="Z25" s="1">
        <v>186</v>
      </c>
      <c r="AA25" s="1">
        <v>165.8</v>
      </c>
      <c r="AB25" s="1">
        <v>91.4</v>
      </c>
    </row>
    <row r="26" spans="1:28" x14ac:dyDescent="0.25">
      <c r="A26" s="1">
        <v>7.2998419999999994E-2</v>
      </c>
      <c r="B26" s="1">
        <v>0.23140664</v>
      </c>
      <c r="C26" s="1">
        <v>0.18260541999999999</v>
      </c>
      <c r="D26" s="1">
        <v>0.11639818</v>
      </c>
      <c r="E26" s="1"/>
      <c r="F26" s="12">
        <f t="shared" si="0"/>
        <v>7.2998419999999994E-2</v>
      </c>
      <c r="M26" s="1">
        <v>17.2</v>
      </c>
      <c r="N26" s="1">
        <v>62.2</v>
      </c>
      <c r="O26" s="1">
        <v>33.4</v>
      </c>
      <c r="P26" s="1">
        <v>23.8</v>
      </c>
      <c r="Q26" s="1"/>
      <c r="R26" s="12">
        <f t="shared" si="1"/>
        <v>17.2</v>
      </c>
      <c r="Y26" s="1">
        <v>59</v>
      </c>
      <c r="Z26" s="1">
        <v>194.4</v>
      </c>
      <c r="AA26" s="1">
        <v>166.8</v>
      </c>
      <c r="AB26" s="1">
        <v>93.2</v>
      </c>
    </row>
    <row r="27" spans="1:28" x14ac:dyDescent="0.25">
      <c r="A27" s="1">
        <v>8.9808059999999995E-2</v>
      </c>
      <c r="B27" s="1">
        <v>0.27884569999999997</v>
      </c>
      <c r="C27" s="1">
        <v>0.23089067999999999</v>
      </c>
      <c r="D27" s="1">
        <v>0.13706180000000001</v>
      </c>
      <c r="E27" s="1"/>
      <c r="F27" s="12">
        <f t="shared" si="0"/>
        <v>8.9808059999999995E-2</v>
      </c>
      <c r="M27" s="1">
        <v>16</v>
      </c>
      <c r="N27" s="1">
        <v>60.8</v>
      </c>
      <c r="O27" s="1">
        <v>33.799999999999997</v>
      </c>
      <c r="P27" s="1">
        <v>23.8</v>
      </c>
      <c r="Q27" s="1"/>
      <c r="R27" s="12">
        <f t="shared" si="1"/>
        <v>16</v>
      </c>
      <c r="Y27" s="1">
        <v>59.8</v>
      </c>
      <c r="Z27" s="1">
        <v>189.4</v>
      </c>
      <c r="AA27" s="1">
        <v>169</v>
      </c>
      <c r="AB27" s="1">
        <v>92.6</v>
      </c>
    </row>
    <row r="28" spans="1:28" x14ac:dyDescent="0.25">
      <c r="A28" s="1">
        <v>0.12319958</v>
      </c>
      <c r="B28" s="1">
        <v>0.24053124000000001</v>
      </c>
      <c r="C28" s="1">
        <v>0.17401728</v>
      </c>
      <c r="D28" s="1">
        <v>8.721334E-2</v>
      </c>
      <c r="E28" s="1"/>
      <c r="F28" s="13">
        <f t="shared" si="0"/>
        <v>8.721334E-2</v>
      </c>
      <c r="M28" s="1">
        <v>26.6</v>
      </c>
      <c r="N28" s="1">
        <v>75.400000000000006</v>
      </c>
      <c r="O28" s="1">
        <v>28.8</v>
      </c>
      <c r="P28" s="1">
        <v>17.399999999999999</v>
      </c>
      <c r="Q28" s="1"/>
      <c r="R28" s="1">
        <f t="shared" si="1"/>
        <v>17.399999999999999</v>
      </c>
      <c r="Y28" s="1">
        <v>88.8</v>
      </c>
      <c r="Z28" s="1">
        <v>228.6</v>
      </c>
      <c r="AA28" s="1">
        <v>162.6</v>
      </c>
      <c r="AB28" s="1">
        <v>79.400000000000006</v>
      </c>
    </row>
    <row r="29" spans="1:28" x14ac:dyDescent="0.25">
      <c r="A29" s="1">
        <v>0.24048622</v>
      </c>
      <c r="B29" s="1">
        <v>0.69376225999999996</v>
      </c>
      <c r="C29" s="1">
        <v>0.57363786000000005</v>
      </c>
      <c r="D29" s="1">
        <v>0.25341352</v>
      </c>
      <c r="E29" s="1"/>
      <c r="F29" s="12">
        <f t="shared" si="0"/>
        <v>0.24048622</v>
      </c>
      <c r="M29" s="1">
        <v>25</v>
      </c>
      <c r="N29" s="1">
        <v>78.599999999999994</v>
      </c>
      <c r="O29" s="1">
        <v>35.4</v>
      </c>
      <c r="P29" s="1">
        <v>18.8</v>
      </c>
      <c r="Q29" s="1"/>
      <c r="R29" s="1">
        <f t="shared" si="1"/>
        <v>18.8</v>
      </c>
      <c r="Y29" s="1">
        <v>81.8</v>
      </c>
      <c r="Z29" s="1">
        <v>238.8</v>
      </c>
      <c r="AA29" s="1">
        <v>198.6</v>
      </c>
      <c r="AB29" s="1">
        <v>85.4</v>
      </c>
    </row>
    <row r="30" spans="1:28" x14ac:dyDescent="0.25">
      <c r="A30" s="1">
        <v>0.52846104000000005</v>
      </c>
      <c r="B30" s="1">
        <v>1.38939996</v>
      </c>
      <c r="C30" s="1">
        <v>1.1154691800000001</v>
      </c>
      <c r="D30" s="1">
        <v>0.61890577999999996</v>
      </c>
      <c r="E30" s="1"/>
      <c r="F30" s="12">
        <f t="shared" si="0"/>
        <v>0.52846104000000005</v>
      </c>
      <c r="M30" s="1">
        <v>27.8</v>
      </c>
      <c r="N30" s="1">
        <v>80</v>
      </c>
      <c r="O30" s="1">
        <v>35.6</v>
      </c>
      <c r="P30" s="1">
        <v>24.6</v>
      </c>
      <c r="Q30" s="1"/>
      <c r="R30" s="1">
        <f t="shared" si="1"/>
        <v>24.6</v>
      </c>
      <c r="Y30" s="1">
        <v>89.2</v>
      </c>
      <c r="Z30" s="1">
        <v>245.2</v>
      </c>
      <c r="AA30" s="1">
        <v>199.6</v>
      </c>
      <c r="AB30" s="1">
        <v>106.8</v>
      </c>
    </row>
    <row r="31" spans="1:28" x14ac:dyDescent="0.25">
      <c r="A31" s="1">
        <v>0.89291076000000003</v>
      </c>
      <c r="B31" s="1">
        <v>2.1594175799999999</v>
      </c>
      <c r="C31" s="1">
        <v>1.7517850800000001</v>
      </c>
      <c r="D31" s="1">
        <v>0.88515606000000002</v>
      </c>
      <c r="E31" s="1"/>
      <c r="F31" s="13">
        <f t="shared" si="0"/>
        <v>0.88515606000000002</v>
      </c>
      <c r="M31" s="1">
        <v>30</v>
      </c>
      <c r="N31" s="1">
        <v>80.599999999999994</v>
      </c>
      <c r="O31" s="1">
        <v>36</v>
      </c>
      <c r="P31" s="1">
        <v>22</v>
      </c>
      <c r="Q31" s="1"/>
      <c r="R31" s="1">
        <f t="shared" si="1"/>
        <v>22</v>
      </c>
      <c r="Y31" s="1">
        <v>98.6</v>
      </c>
      <c r="Z31" s="1">
        <v>244.8</v>
      </c>
      <c r="AA31" s="1">
        <v>201.8</v>
      </c>
      <c r="AB31" s="1">
        <v>99</v>
      </c>
    </row>
    <row r="32" spans="1:28" x14ac:dyDescent="0.25">
      <c r="A32" s="1">
        <v>0.97325189999999995</v>
      </c>
      <c r="B32" s="1">
        <v>2.60514248</v>
      </c>
      <c r="C32" s="1">
        <v>1.7718203400000001</v>
      </c>
      <c r="D32" s="1">
        <v>1.0590814399999999</v>
      </c>
      <c r="E32" s="1"/>
      <c r="F32" s="12">
        <f t="shared" si="0"/>
        <v>0.97325189999999995</v>
      </c>
      <c r="M32" s="1">
        <v>28.8</v>
      </c>
      <c r="N32" s="1">
        <v>81.8</v>
      </c>
      <c r="O32" s="1">
        <v>31</v>
      </c>
      <c r="P32" s="1">
        <v>22.2</v>
      </c>
      <c r="Q32" s="1"/>
      <c r="R32" s="1">
        <f t="shared" si="1"/>
        <v>22.2</v>
      </c>
      <c r="Y32" s="1">
        <v>91.6</v>
      </c>
      <c r="Z32" s="1">
        <v>249.6</v>
      </c>
      <c r="AA32" s="1">
        <v>172</v>
      </c>
      <c r="AB32" s="1">
        <v>100.2</v>
      </c>
    </row>
    <row r="33" spans="1:28" x14ac:dyDescent="0.25">
      <c r="A33" s="1">
        <v>2.1640079999999999E-2</v>
      </c>
      <c r="B33" s="1">
        <v>7.4388640000000006E-2</v>
      </c>
      <c r="C33" s="1">
        <v>2.2155959999999999E-2</v>
      </c>
      <c r="D33" s="1">
        <v>1.4159120000000001E-2</v>
      </c>
      <c r="E33" s="1"/>
      <c r="F33" s="13">
        <f t="shared" si="0"/>
        <v>1.4159120000000001E-2</v>
      </c>
      <c r="M33" s="1">
        <v>12.4</v>
      </c>
      <c r="N33" s="1">
        <v>47.8</v>
      </c>
      <c r="O33" s="1">
        <v>13</v>
      </c>
      <c r="P33" s="1">
        <v>9</v>
      </c>
      <c r="Q33" s="1"/>
      <c r="R33" s="1">
        <f t="shared" si="1"/>
        <v>9</v>
      </c>
      <c r="Y33" s="1">
        <v>50.8</v>
      </c>
      <c r="Z33" s="1">
        <v>185</v>
      </c>
      <c r="AA33" s="1">
        <v>53</v>
      </c>
      <c r="AB33" s="1">
        <v>28</v>
      </c>
    </row>
    <row r="34" spans="1:28" x14ac:dyDescent="0.25">
      <c r="A34" s="1">
        <v>5.6121879999999999E-2</v>
      </c>
      <c r="B34" s="1">
        <v>0.23557758000000001</v>
      </c>
      <c r="C34" s="1">
        <v>6.9107360000000007E-2</v>
      </c>
      <c r="D34" s="1">
        <v>3.3467419999999998E-2</v>
      </c>
      <c r="E34" s="1"/>
      <c r="F34" s="13">
        <f t="shared" si="0"/>
        <v>3.3467419999999998E-2</v>
      </c>
      <c r="I34" s="9"/>
      <c r="M34" s="1">
        <v>11.6</v>
      </c>
      <c r="N34" s="1">
        <v>50.4</v>
      </c>
      <c r="O34" s="1">
        <v>14</v>
      </c>
      <c r="P34" s="1">
        <v>9</v>
      </c>
      <c r="Q34" s="1"/>
      <c r="R34" s="1">
        <f t="shared" si="1"/>
        <v>9</v>
      </c>
      <c r="Y34" s="1">
        <v>45.4</v>
      </c>
      <c r="Z34" s="1">
        <v>197</v>
      </c>
      <c r="AA34" s="1">
        <v>57</v>
      </c>
      <c r="AB34" s="1">
        <v>28</v>
      </c>
    </row>
    <row r="35" spans="1:28" x14ac:dyDescent="0.25">
      <c r="A35" s="1">
        <v>8.6612239999999993E-2</v>
      </c>
      <c r="B35" s="1">
        <v>0.43327981999999998</v>
      </c>
      <c r="C35" s="1">
        <v>0.11889138</v>
      </c>
      <c r="D35" s="1">
        <v>9.8666019999999993E-2</v>
      </c>
      <c r="E35" s="1"/>
      <c r="F35" s="12">
        <f t="shared" si="0"/>
        <v>8.6612239999999993E-2</v>
      </c>
      <c r="M35" s="1">
        <v>12.2</v>
      </c>
      <c r="N35" s="1">
        <v>56.8</v>
      </c>
      <c r="O35" s="1">
        <v>15</v>
      </c>
      <c r="P35" s="1">
        <v>16</v>
      </c>
      <c r="Q35" s="1"/>
      <c r="R35" s="12">
        <f t="shared" si="1"/>
        <v>12.2</v>
      </c>
      <c r="Y35" s="1">
        <v>44.8</v>
      </c>
      <c r="Z35" s="1">
        <v>225.4</v>
      </c>
      <c r="AA35" s="1">
        <v>63</v>
      </c>
      <c r="AB35" s="1">
        <v>50</v>
      </c>
    </row>
    <row r="36" spans="1:28" x14ac:dyDescent="0.25">
      <c r="A36" s="1">
        <v>0.12986487999999999</v>
      </c>
      <c r="B36" s="1">
        <v>0.54681869999999999</v>
      </c>
      <c r="C36" s="1">
        <v>0.18343886000000001</v>
      </c>
      <c r="D36" s="1">
        <v>0.14147509999999999</v>
      </c>
      <c r="E36" s="1"/>
      <c r="F36" s="12">
        <f t="shared" si="0"/>
        <v>0.12986487999999999</v>
      </c>
      <c r="M36" s="1">
        <v>13.2</v>
      </c>
      <c r="N36" s="1">
        <v>50.6</v>
      </c>
      <c r="O36" s="1">
        <v>16</v>
      </c>
      <c r="P36" s="1">
        <v>16</v>
      </c>
      <c r="Q36" s="1"/>
      <c r="R36" s="12">
        <f t="shared" si="1"/>
        <v>13.2</v>
      </c>
      <c r="Y36" s="1">
        <v>46.2</v>
      </c>
      <c r="Z36" s="1">
        <v>198.8</v>
      </c>
      <c r="AA36" s="1">
        <v>68</v>
      </c>
      <c r="AB36" s="1">
        <v>50</v>
      </c>
    </row>
    <row r="37" spans="1:28" x14ac:dyDescent="0.25">
      <c r="A37" s="1">
        <v>0.1553155</v>
      </c>
      <c r="B37" s="1">
        <v>0.73694119999999996</v>
      </c>
      <c r="C37" s="1">
        <v>0.22954484</v>
      </c>
      <c r="D37" s="1">
        <v>0.17444902000000001</v>
      </c>
      <c r="E37" s="1"/>
      <c r="F37" s="12">
        <f t="shared" si="0"/>
        <v>0.1553155</v>
      </c>
      <c r="M37" s="1">
        <v>12.8</v>
      </c>
      <c r="N37" s="1">
        <v>56.2</v>
      </c>
      <c r="O37" s="1">
        <v>16</v>
      </c>
      <c r="P37" s="1">
        <v>17</v>
      </c>
      <c r="Q37" s="1"/>
      <c r="R37" s="12">
        <f t="shared" si="1"/>
        <v>12.8</v>
      </c>
      <c r="Y37" s="1">
        <v>45.4</v>
      </c>
      <c r="Z37" s="1">
        <v>220.2</v>
      </c>
      <c r="AA37" s="1">
        <v>70</v>
      </c>
      <c r="AB37" s="1">
        <v>51</v>
      </c>
    </row>
    <row r="38" spans="1:28" x14ac:dyDescent="0.25">
      <c r="A38" s="1">
        <v>1.190708E-2</v>
      </c>
      <c r="B38" s="1">
        <v>2.9249839999999999E-2</v>
      </c>
      <c r="C38" s="1">
        <v>2.3134020000000002E-2</v>
      </c>
      <c r="D38" s="1">
        <v>2.7178979999999998E-2</v>
      </c>
      <c r="E38" s="1"/>
      <c r="F38" s="12">
        <f t="shared" si="0"/>
        <v>1.190708E-2</v>
      </c>
      <c r="M38" s="1">
        <v>13.6</v>
      </c>
      <c r="N38" s="1">
        <v>51.8</v>
      </c>
      <c r="O38" s="1">
        <v>30.2</v>
      </c>
      <c r="P38" s="1">
        <v>32</v>
      </c>
      <c r="Q38" s="1"/>
      <c r="R38" s="12">
        <f t="shared" si="1"/>
        <v>13.6</v>
      </c>
      <c r="Y38" s="1">
        <v>53.6</v>
      </c>
      <c r="Z38" s="1">
        <v>198</v>
      </c>
      <c r="AA38" s="1">
        <v>137</v>
      </c>
      <c r="AB38" s="1">
        <v>126</v>
      </c>
    </row>
    <row r="39" spans="1:28" x14ac:dyDescent="0.25">
      <c r="A39" s="1">
        <v>3.576468E-2</v>
      </c>
      <c r="B39" s="1">
        <v>0.13977526000000001</v>
      </c>
      <c r="C39" s="1">
        <v>7.1028839999999996E-2</v>
      </c>
      <c r="D39" s="1">
        <v>9.5775460000000007E-2</v>
      </c>
      <c r="E39" s="1"/>
      <c r="F39" s="12">
        <f t="shared" si="0"/>
        <v>3.576468E-2</v>
      </c>
      <c r="M39" s="1">
        <v>13.6</v>
      </c>
      <c r="N39" s="1">
        <v>54.4</v>
      </c>
      <c r="O39" s="1">
        <v>26.4</v>
      </c>
      <c r="P39" s="1">
        <v>35.799999999999997</v>
      </c>
      <c r="Q39" s="1"/>
      <c r="R39" s="12">
        <f t="shared" si="1"/>
        <v>13.6</v>
      </c>
      <c r="Y39" s="1">
        <v>51.2</v>
      </c>
      <c r="Z39" s="1">
        <v>207.4</v>
      </c>
      <c r="AA39" s="1">
        <v>128</v>
      </c>
      <c r="AB39" s="1">
        <v>140.4</v>
      </c>
    </row>
    <row r="40" spans="1:28" x14ac:dyDescent="0.25">
      <c r="A40" s="1">
        <v>5.6841879999999997E-2</v>
      </c>
      <c r="B40" s="1">
        <v>0.216145</v>
      </c>
      <c r="C40" s="1">
        <v>0.11807844000000001</v>
      </c>
      <c r="D40" s="1">
        <v>8.4407759999999998E-2</v>
      </c>
      <c r="E40" s="1"/>
      <c r="F40" s="12">
        <f t="shared" si="0"/>
        <v>5.6841879999999997E-2</v>
      </c>
      <c r="M40" s="1">
        <v>12.6</v>
      </c>
      <c r="N40" s="1">
        <v>51.2</v>
      </c>
      <c r="O40" s="1">
        <v>27</v>
      </c>
      <c r="P40" s="1">
        <v>21.2</v>
      </c>
      <c r="Q40" s="1"/>
      <c r="R40" s="12">
        <f t="shared" si="1"/>
        <v>12.6</v>
      </c>
      <c r="Y40" s="1">
        <v>51.2</v>
      </c>
      <c r="Z40" s="1">
        <v>198</v>
      </c>
      <c r="AA40" s="1">
        <v>131</v>
      </c>
      <c r="AB40" s="1">
        <v>75.400000000000006</v>
      </c>
    </row>
    <row r="41" spans="1:28" x14ac:dyDescent="0.25">
      <c r="A41" s="1">
        <v>9.7842540000000006E-2</v>
      </c>
      <c r="B41" s="1">
        <v>0.38672109999999998</v>
      </c>
      <c r="C41" s="1">
        <v>0.24523081999999999</v>
      </c>
      <c r="D41" s="1">
        <v>0.13041052</v>
      </c>
      <c r="E41" s="1"/>
      <c r="F41" s="12">
        <f t="shared" si="0"/>
        <v>9.7842540000000006E-2</v>
      </c>
      <c r="M41" s="1">
        <v>15.4</v>
      </c>
      <c r="N41" s="1">
        <v>58.6</v>
      </c>
      <c r="O41" s="1">
        <v>36.6</v>
      </c>
      <c r="P41" s="1">
        <v>22.2</v>
      </c>
      <c r="Q41" s="1"/>
      <c r="R41" s="12">
        <f t="shared" si="1"/>
        <v>15.4</v>
      </c>
      <c r="Y41" s="1">
        <v>57.4</v>
      </c>
      <c r="Z41" s="1">
        <v>228</v>
      </c>
      <c r="AA41" s="1">
        <v>182</v>
      </c>
      <c r="AB41" s="1">
        <v>78.2</v>
      </c>
    </row>
    <row r="42" spans="1:28" x14ac:dyDescent="0.25">
      <c r="A42" s="1">
        <v>0.10487552</v>
      </c>
      <c r="B42" s="1">
        <v>0.43899758</v>
      </c>
      <c r="C42" s="1">
        <v>0.29962193999999998</v>
      </c>
      <c r="D42" s="1">
        <v>0.15906851999999999</v>
      </c>
      <c r="E42" s="1"/>
      <c r="F42" s="12">
        <f t="shared" si="0"/>
        <v>0.10487552</v>
      </c>
      <c r="M42" s="1">
        <v>14.4</v>
      </c>
      <c r="N42" s="1">
        <v>55.8</v>
      </c>
      <c r="O42" s="1">
        <v>36.6</v>
      </c>
      <c r="P42" s="1">
        <v>22.4</v>
      </c>
      <c r="Q42" s="1"/>
      <c r="R42" s="12">
        <f t="shared" si="1"/>
        <v>14.4</v>
      </c>
      <c r="Y42" s="1">
        <v>50.8</v>
      </c>
      <c r="Z42" s="1">
        <v>215.4</v>
      </c>
      <c r="AA42" s="1">
        <v>182</v>
      </c>
      <c r="AB42" s="1">
        <v>79.599999999999994</v>
      </c>
    </row>
    <row r="43" spans="1:28" x14ac:dyDescent="0.25">
      <c r="A43" s="1">
        <v>1.425566E-2</v>
      </c>
      <c r="B43" s="1">
        <v>4.3942219999999997E-2</v>
      </c>
      <c r="C43" s="1">
        <v>1.2393339999999999E-2</v>
      </c>
      <c r="D43" s="1">
        <v>1.414616E-2</v>
      </c>
      <c r="E43" s="1"/>
      <c r="F43" s="14">
        <f t="shared" si="0"/>
        <v>1.2393339999999999E-2</v>
      </c>
      <c r="M43" s="1">
        <v>13.6</v>
      </c>
      <c r="N43" s="1">
        <v>49.8</v>
      </c>
      <c r="O43" s="1">
        <v>13.8</v>
      </c>
      <c r="P43" s="1">
        <v>15</v>
      </c>
      <c r="Q43" s="1"/>
      <c r="R43" s="12">
        <f t="shared" si="1"/>
        <v>13.6</v>
      </c>
      <c r="Y43" s="1">
        <v>53.2</v>
      </c>
      <c r="Z43" s="1">
        <v>196.2</v>
      </c>
      <c r="AA43" s="1">
        <v>54</v>
      </c>
      <c r="AB43" s="1">
        <v>46</v>
      </c>
    </row>
    <row r="44" spans="1:28" x14ac:dyDescent="0.25">
      <c r="A44" s="1">
        <v>5.2486280000000003E-2</v>
      </c>
      <c r="B44" s="1">
        <v>0.175653</v>
      </c>
      <c r="C44" s="1">
        <v>9.0500319999999995E-2</v>
      </c>
      <c r="D44" s="1">
        <v>4.2365260000000002E-2</v>
      </c>
      <c r="E44" s="1"/>
      <c r="F44" s="13">
        <f t="shared" si="0"/>
        <v>4.2365260000000002E-2</v>
      </c>
      <c r="M44" s="1">
        <v>15.4</v>
      </c>
      <c r="N44" s="1">
        <v>51.8</v>
      </c>
      <c r="O44" s="1">
        <v>28</v>
      </c>
      <c r="P44" s="1">
        <v>16</v>
      </c>
      <c r="Q44" s="1"/>
      <c r="R44" s="12">
        <f t="shared" si="1"/>
        <v>15.4</v>
      </c>
      <c r="Y44" s="1">
        <v>62.4</v>
      </c>
      <c r="Z44" s="1">
        <v>206</v>
      </c>
      <c r="AA44" s="1">
        <v>111</v>
      </c>
      <c r="AB44" s="1">
        <v>48</v>
      </c>
    </row>
    <row r="45" spans="1:28" x14ac:dyDescent="0.25">
      <c r="A45" s="1">
        <v>6.714734E-2</v>
      </c>
      <c r="B45" s="1">
        <v>0.27984880000000001</v>
      </c>
      <c r="C45" s="1">
        <v>0.14872584</v>
      </c>
      <c r="D45" s="1">
        <v>6.9508959999999995E-2</v>
      </c>
      <c r="E45" s="1"/>
      <c r="F45" s="13">
        <f t="shared" si="0"/>
        <v>6.714734E-2</v>
      </c>
      <c r="M45" s="1">
        <v>11.4</v>
      </c>
      <c r="N45" s="1">
        <v>50.4</v>
      </c>
      <c r="O45" s="1">
        <v>28</v>
      </c>
      <c r="P45" s="1">
        <v>16</v>
      </c>
      <c r="Q45" s="1"/>
      <c r="R45" s="12">
        <f t="shared" si="1"/>
        <v>11.4</v>
      </c>
      <c r="Y45" s="1">
        <v>46.8</v>
      </c>
      <c r="Z45" s="1">
        <v>199</v>
      </c>
      <c r="AA45" s="1">
        <v>111</v>
      </c>
      <c r="AB45" s="1">
        <v>49</v>
      </c>
    </row>
    <row r="46" spans="1:28" x14ac:dyDescent="0.25">
      <c r="A46" s="1">
        <v>0.1114025</v>
      </c>
      <c r="B46" s="1">
        <v>0.44695886000000001</v>
      </c>
      <c r="C46" s="1">
        <v>0.24291808000000001</v>
      </c>
      <c r="D46" s="1">
        <v>0.10647946</v>
      </c>
      <c r="E46" s="1"/>
      <c r="F46" s="13">
        <f t="shared" si="0"/>
        <v>0.10647946</v>
      </c>
      <c r="M46" s="1">
        <v>13</v>
      </c>
      <c r="N46" s="1">
        <v>54</v>
      </c>
      <c r="O46" s="1">
        <v>30</v>
      </c>
      <c r="P46" s="1">
        <v>16</v>
      </c>
      <c r="Q46" s="1"/>
      <c r="R46" s="12">
        <f t="shared" si="1"/>
        <v>13</v>
      </c>
      <c r="Y46" s="1">
        <v>52.8</v>
      </c>
      <c r="Z46" s="1">
        <v>213</v>
      </c>
      <c r="AA46" s="1">
        <v>120</v>
      </c>
      <c r="AB46" s="1">
        <v>49</v>
      </c>
    </row>
    <row r="47" spans="1:28" x14ac:dyDescent="0.25">
      <c r="A47" s="1">
        <v>0.12175576</v>
      </c>
      <c r="B47" s="1">
        <v>0.53222641999999998</v>
      </c>
      <c r="C47" s="1">
        <v>0.28790051999999999</v>
      </c>
      <c r="D47" s="1">
        <v>0.12611459999999999</v>
      </c>
      <c r="E47" s="1"/>
      <c r="F47" s="12">
        <f t="shared" si="0"/>
        <v>0.12175576</v>
      </c>
      <c r="M47" s="1">
        <v>12.6</v>
      </c>
      <c r="N47" s="1">
        <v>54</v>
      </c>
      <c r="O47" s="1">
        <v>30</v>
      </c>
      <c r="P47" s="1">
        <v>16</v>
      </c>
      <c r="Q47" s="1"/>
      <c r="R47" s="12">
        <f t="shared" si="1"/>
        <v>12.6</v>
      </c>
      <c r="Y47" s="1">
        <v>47.8</v>
      </c>
      <c r="Z47" s="1">
        <v>215.4</v>
      </c>
      <c r="AA47" s="1">
        <v>120</v>
      </c>
      <c r="AB47" s="1">
        <v>49</v>
      </c>
    </row>
  </sheetData>
  <mergeCells count="6">
    <mergeCell ref="AE3:AG3"/>
    <mergeCell ref="Y1:AF1"/>
    <mergeCell ref="I3:K3"/>
    <mergeCell ref="A1:J1"/>
    <mergeCell ref="U3:W3"/>
    <mergeCell ref="M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Sharma</dc:creator>
  <cp:lastModifiedBy>Aditya Sharma</cp:lastModifiedBy>
  <dcterms:created xsi:type="dcterms:W3CDTF">2026-01-18T05:42:05Z</dcterms:created>
  <dcterms:modified xsi:type="dcterms:W3CDTF">2026-01-21T10:40:27Z</dcterms:modified>
</cp:coreProperties>
</file>